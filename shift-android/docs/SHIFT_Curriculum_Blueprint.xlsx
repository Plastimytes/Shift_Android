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terest Categories" sheetId="1" state="visible" r:id="rId3"/>
    <sheet name="Curriculum Blueprint" sheetId="2" state="visible" r:id="rId4"/>
    <sheet name="MVP Slice Traceability" sheetId="3" state="visible" r:id="rId5"/>
    <sheet name="UI Direction" sheetId="4" state="visible" r:id="rId6"/>
  </sheets>
  <definedNames>
    <definedName function="false" hidden="true" localSheetId="1" name="_xlnm._FilterDatabase" vbProcedure="false">'Curriculum Blueprint'!$A$1:$H$56</definedName>
    <definedName function="false" hidden="true" localSheetId="0" name="_xlnm._FilterDatabase" vbProcedure="false">'Interest Categories'!$A$1:$D$11</definedName>
    <definedName function="false" hidden="true" localSheetId="2" name="_xlnm._FilterDatabase" vbProcedure="false">'MVP Slice Traceability'!$A$1:$H$13</definedName>
    <definedName function="false" hidden="true" localSheetId="3" name="_xlnm._FilterDatabase" vbProcedure="false">'UI Direction'!$A$1:$D$7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<sst xmlns="http://schemas.openxmlformats.org/spreadsheetml/2006/main" count="576" uniqueCount="383">
  <si>
    <t xml:space="preserve">Group</t>
  </si>
  <si>
    <t xml:space="preserve">Group name</t>
  </si>
  <si>
    <t xml:space="preserve">Interest categories (selectable cards)</t>
  </si>
  <si>
    <t xml:space="preserve">Sourcing status / teaching rule</t>
  </si>
  <si>
    <t xml:space="preserve">A</t>
  </si>
  <si>
    <t xml:space="preserve">Japanese culture and engineering</t>
  </si>
  <si>
    <t xml:space="preserve">JDM; Japanese sports cars; performance sedans; coupes; hot hatches; kei cars; drift cars; time-attack cars; touring cars; rally cars; off-road vehicles; engine families and tuning traditions</t>
  </si>
  <si>
    <t xml:space="preserve">Teach 'JDM' as sold-new-in-Japan (S29); kei numbers only after primary source (S43)</t>
  </si>
  <si>
    <t xml:space="preserve">B</t>
  </si>
  <si>
    <t xml:space="preserve">German and European performance</t>
  </si>
  <si>
    <t xml:space="preserve">DTM; touring cars; German performance sedans; European sports cars, supercars, hypercars; hot hatches; GT racing; endurance racing; rally engineering; luxury; diesel performance; tuning culture</t>
  </si>
  <si>
    <t xml:space="preserve">DTM/GT/endurance rules not yet sourced</t>
  </si>
  <si>
    <t xml:space="preserve">C</t>
  </si>
  <si>
    <t xml:space="preserve">American engineering</t>
  </si>
  <si>
    <t xml:space="preserve">Muscle cars; pony cars; sports cars; drag racing; NASCAR; hot rods; restomods; classics; pickups; off-road performance; V8 engineering; large-displacement NA engines; supercharged/turbo builds</t>
  </si>
  <si>
    <t xml:space="preserve">NASCAR specs from secondary sources (S27)</t>
  </si>
  <si>
    <t xml:space="preserve">D</t>
  </si>
  <si>
    <t xml:space="preserve">Sports, racing and competition</t>
  </si>
  <si>
    <t xml:space="preserve">Sports cars; supercars; hypercars; Formula 1; other formula series; GT3/GT4; endurance; rally; rallycross; drifting; drag; time attack; hill climb; autocross; touring; track-day; electric motorsport; hybrid performance</t>
  </si>
  <si>
    <t xml:space="preserve">Date-stamp every rule (S15, S28)</t>
  </si>
  <si>
    <t xml:space="preserve">E</t>
  </si>
  <si>
    <t xml:space="preserve">Everyday and practical vehicles</t>
  </si>
  <si>
    <t xml:space="preserve">Sedans; hatchbacks; coupes; wagons; compacts; city cars; SUVs; crossovers; MPVs; family; luxury; executive; economy; hybrid; electric; diesel passenger vehicles</t>
  </si>
  <si>
    <t xml:space="preserve">Strong source base for EV/diesel (S13, S30)</t>
  </si>
  <si>
    <t xml:space="preserve">F</t>
  </si>
  <si>
    <t xml:space="preserve">Trucks, commercial and heavy machinery</t>
  </si>
  <si>
    <t xml:space="preserve">Pickups; heavy-duty pickups; vans; delivery; box trucks; tractor units; heavy diesel; utility off-road; construction; agricultural; fleet; commercial EV; towing and load management</t>
  </si>
  <si>
    <t xml:space="preserve">Heavy-vehicle sources thin: ASE T-series not yet read</t>
  </si>
  <si>
    <t xml:space="preserve">G</t>
  </si>
  <si>
    <t xml:space="preserve">Off-road and utility engineering</t>
  </si>
  <si>
    <t xml:space="preserve">4x4; AWD; rock crawlers; overlanding; rally raid; desert racing; trophy trucks; utility; expedition; general military vehicle engineering; suspension travel; differentials and transfer cases; traction management</t>
  </si>
  <si>
    <t xml:space="preserve">Drivetrain sources needed</t>
  </si>
  <si>
    <t xml:space="preserve">H</t>
  </si>
  <si>
    <t xml:space="preserve">Classic, historical and restoration</t>
  </si>
  <si>
    <t xml:space="preserve">Vintage; pre-war; classics; historic racing; classic muscle; classic European and Japanese; concours; restomods; period-correct restoration; historic powertrains; design history</t>
  </si>
  <si>
    <t xml:space="preserve">History sources not yet gathered</t>
  </si>
  <si>
    <t xml:space="preserve">I</t>
  </si>
  <si>
    <t xml:space="preserve">Powertrain and propulsion</t>
  </si>
  <si>
    <t xml:space="preserve">Inline, V, flat/boxer and rotary engines; NA, turbo, supercharged; diesel; hybrid; PHEV; BEV; hydrogen FCEV; manual, automatic, DCT, CVT; FWD, RWD, AWD, 4WD</t>
  </si>
  <si>
    <t xml:space="preserve">Good: S08, S13, S14, S16; transmissions need textbook source</t>
  </si>
  <si>
    <t xml:space="preserve">J</t>
  </si>
  <si>
    <t xml:space="preserve">Engineering and specialist disciplines</t>
  </si>
  <si>
    <t xml:space="preserve">Engine building; ECU calibration; electronics; suspension, brake, chassis engineering; aerodynamics; CAD; simulation; fabrication and welding; materials; manufacturing; diagnostics; NVH; motorsport setup; vehicle dynamics; HV systems; embedded software; ADAS and autonomy</t>
  </si>
  <si>
    <t xml:space="preserve">S09, S10, S11, S26, S34, S36</t>
  </si>
  <si>
    <t xml:space="preserve">Onboarding rule</t>
  </si>
  <si>
    <t xml:space="preserve">User picks exactly three interests; Done is disabled until the count equals the value in the cell to the right; all categories stay open afterwards.</t>
  </si>
  <si>
    <t xml:space="preserve">Module ID</t>
  </si>
  <si>
    <t xml:space="preserve">Section</t>
  </si>
  <si>
    <t xml:space="preserve">Module</t>
  </si>
  <si>
    <t xml:space="preserve">Release tier</t>
  </si>
  <si>
    <t xml:space="preserve">Key topics</t>
  </si>
  <si>
    <t xml:space="preserve">Source IDs (see registry)</t>
  </si>
  <si>
    <t xml:space="preserve">Safety IDs</t>
  </si>
  <si>
    <t xml:space="preserve">Planned lessons (estimate)</t>
  </si>
  <si>
    <t xml:space="preserve">ABT-01</t>
  </si>
  <si>
    <t xml:space="preserve">1 About Cars</t>
  </si>
  <si>
    <t xml:space="preserve">Automotive foundations</t>
  </si>
  <si>
    <t xml:space="preserve">v1 slice</t>
  </si>
  <si>
    <t xml:space="preserve">What a car is; vehicle types; history; architecture; units; tools; reading specs; identifying year/generation/engine; VIN</t>
  </si>
  <si>
    <t xml:space="preserve">S06</t>
  </si>
  <si>
    <t xml:space="preserve">ABT-02</t>
  </si>
  <si>
    <t xml:space="preserve">Engine fundamentals</t>
  </si>
  <si>
    <t xml:space="preserve">Four-stroke cycle; diesel vs petrol; block/head/piston/crank/cam; valvetrain; compression ratio; displacement; torque/power; lubrication; cooling; intake/exhaust; forced induction; rotary</t>
  </si>
  <si>
    <t xml:space="preserve">S07, S08, S16, S23, S32</t>
  </si>
  <si>
    <t xml:space="preserve">ABT-03</t>
  </si>
  <si>
    <t xml:space="preserve">Transmission and drivetrain</t>
  </si>
  <si>
    <t xml:space="preserve">v1.x</t>
  </si>
  <si>
    <t xml:space="preserve">Clutch; manual, automatic, DCT, CVT; torque converter; ratios; final drive; differentials; transfer case; shafts; FWD/RWD/AWD/4WD</t>
  </si>
  <si>
    <t xml:space="preserve">none solid yet</t>
  </si>
  <si>
    <t xml:space="preserve">ABT-04</t>
  </si>
  <si>
    <t xml:space="preserve">Fuel, air and exhaust</t>
  </si>
  <si>
    <t xml:space="preserve">Fuel delivery; injectors; throttle body; MAF/MAP; catalytic converter; O2 sensors; DPF; EGR; SCR; air-fuel ratio</t>
  </si>
  <si>
    <t xml:space="preserve">S30, S32</t>
  </si>
  <si>
    <t xml:space="preserve">SC07</t>
  </si>
  <si>
    <t xml:space="preserve">ABT-05</t>
  </si>
  <si>
    <t xml:space="preserve">Cooling and lubrication</t>
  </si>
  <si>
    <t xml:space="preserve">Radiator; pump; thermostat; fans; oil pump/filter; viscosity vs API; pressure; overheating; oil starvation</t>
  </si>
  <si>
    <t xml:space="preserve">S23</t>
  </si>
  <si>
    <t xml:space="preserve">SC11</t>
  </si>
  <si>
    <t xml:space="preserve">ABT-06</t>
  </si>
  <si>
    <t xml:space="preserve">Electrical and electronic systems</t>
  </si>
  <si>
    <t xml:space="preserve">Battery; alternator; starter; fuses/relays; harness; grounds; sensors; ECU; CAN; OBD-II; DTCs; lighting; ESC; ADAS; cybersecurity</t>
  </si>
  <si>
    <t xml:space="preserve">S09, S10, S11, S05</t>
  </si>
  <si>
    <t xml:space="preserve">SC13, SC14</t>
  </si>
  <si>
    <t xml:space="preserve">ABT-07</t>
  </si>
  <si>
    <t xml:space="preserve">Suspension, steering and chassis</t>
  </si>
  <si>
    <t xml:space="preserve">Chassis types; springs; dampers; arms; bushings; ARB; steering; alignment; geometry; unsprung mass</t>
  </si>
  <si>
    <t xml:space="preserve">S26</t>
  </si>
  <si>
    <t xml:space="preserve">SC04</t>
  </si>
  <si>
    <t xml:space="preserve">ABT-08</t>
  </si>
  <si>
    <t xml:space="preserve">Brakes, wheels and tires</t>
  </si>
  <si>
    <t xml:space="preserve">Disc/drum; pads; calipers; master cylinder; fluid; ABS/EBD; fade; tire construction and markings; pressure; grip</t>
  </si>
  <si>
    <t xml:space="preserve">S24, S25, S38, S06</t>
  </si>
  <si>
    <t xml:space="preserve">SC03, SC06</t>
  </si>
  <si>
    <t xml:space="preserve">ABT-09</t>
  </si>
  <si>
    <t xml:space="preserve">Vehicle dynamics</t>
  </si>
  <si>
    <t xml:space="preserve">Weight distribution; CG; braking distance; understeer/oversteer; weight transfer; yaw/pitch/roll; friction circle</t>
  </si>
  <si>
    <t xml:space="preserve">ABT-10</t>
  </si>
  <si>
    <t xml:space="preserve">Body, interior, safety and aerodynamics</t>
  </si>
  <si>
    <t xml:space="preserve">Panels; structures; crumple zones; airbags; belts; corrosion; glass; paint; HVAC; drag/lift/downforce</t>
  </si>
  <si>
    <t xml:space="preserve">S35, S40</t>
  </si>
  <si>
    <t xml:space="preserve">SC09</t>
  </si>
  <si>
    <t xml:space="preserve">ABT-11</t>
  </si>
  <si>
    <t xml:space="preserve">Hybrid and electric vehicles</t>
  </si>
  <si>
    <t xml:space="preserve">Motors; inverters; traction batteries; BMS; regen; DC-DC; onboard charger; charging standards; thermal management; HV safety; degradation</t>
  </si>
  <si>
    <t xml:space="preserve">S13, S20, S21, S22, S33, S38</t>
  </si>
  <si>
    <t xml:space="preserve">SC01, SC02</t>
  </si>
  <si>
    <t xml:space="preserve">ABT-12</t>
  </si>
  <si>
    <t xml:space="preserve">Automotive culture and motorsport</t>
  </si>
  <si>
    <t xml:space="preserve">JDM meaning; formula, rally, drag, drift, endurance, touring; rules at high level; case studies</t>
  </si>
  <si>
    <t xml:space="preserve">S29, S15, S27, S28</t>
  </si>
  <si>
    <t xml:space="preserve">BLD-01</t>
  </si>
  <si>
    <t xml:space="preserve">2 Build the Car</t>
  </si>
  <si>
    <t xml:space="preserve">Plan a vehicle project</t>
  </si>
  <si>
    <t xml:space="preserve">Use case; platform; budget; skills; workshop; parts; registration and roadworthiness; timeline; safety plan; BOM</t>
  </si>
  <si>
    <t xml:space="preserve">S17, S12</t>
  </si>
  <si>
    <t xml:space="preserve">SC05</t>
  </si>
  <si>
    <t xml:space="preserve">BLD-02</t>
  </si>
  <si>
    <t xml:space="preserve">Understand the donor vehicle</t>
  </si>
  <si>
    <t xml:space="preserve">VIN; body/chassis inspection; engine and transmission ID; rust; compression/leak-down concepts; scanning; service history</t>
  </si>
  <si>
    <t xml:space="preserve">S06, S09</t>
  </si>
  <si>
    <t xml:space="preserve">BLD-03</t>
  </si>
  <si>
    <t xml:space="preserve">Engine building</t>
  </si>
  <si>
    <t xml:space="preserve">later</t>
  </si>
  <si>
    <t xml:space="preserve">Specs; teardown; cleanliness; measurements; bearings; pistons; head; timing; torque methods; priming; first start (all numbers from OEM manual)</t>
  </si>
  <si>
    <t xml:space="preserve">S18, S42</t>
  </si>
  <si>
    <t xml:space="preserve">BLD-04</t>
  </si>
  <si>
    <t xml:space="preserve">Transmission and drivetrain assembly</t>
  </si>
  <si>
    <t xml:space="preserve">Clutch; flywheel; gearbox; diff; axles; driveshaft; mounts</t>
  </si>
  <si>
    <t xml:space="preserve">none yet</t>
  </si>
  <si>
    <t xml:space="preserve">BLD-05</t>
  </si>
  <si>
    <t xml:space="preserve">Chassis, suspension and steering</t>
  </si>
  <si>
    <t xml:space="preserve">Component selection; alignment principles; fitment; ride height; corner weights; validation</t>
  </si>
  <si>
    <t xml:space="preserve">BLD-06</t>
  </si>
  <si>
    <t xml:space="preserve">Braking system assembly</t>
  </si>
  <si>
    <t xml:space="preserve">Architecture; compatibility; bias; fluid; bleeding principles; professional validation</t>
  </si>
  <si>
    <t xml:space="preserve">S24, S38</t>
  </si>
  <si>
    <t xml:space="preserve">SC03</t>
  </si>
  <si>
    <t xml:space="preserve">BLD-07</t>
  </si>
  <si>
    <t xml:space="preserve">Electrical system integration</t>
  </si>
  <si>
    <t xml:space="preserve">Diagrams; harness; fuses; relays; grounding; ECU wiring; continuity tests</t>
  </si>
  <si>
    <t xml:space="preserve">S09</t>
  </si>
  <si>
    <t xml:space="preserve">BLD-08</t>
  </si>
  <si>
    <t xml:space="preserve">Fuel, cooling and exhaust integration</t>
  </si>
  <si>
    <t xml:space="preserve">Fuel pressure concepts; injector sizing concepts; cooling capacity; exhaust routing; leak and thermal checks</t>
  </si>
  <si>
    <t xml:space="preserve">S12</t>
  </si>
  <si>
    <t xml:space="preserve">SC07, SC11</t>
  </si>
  <si>
    <t xml:space="preserve">BLD-09</t>
  </si>
  <si>
    <t xml:space="preserve">Bodywork and fabrication</t>
  </si>
  <si>
    <t xml:space="preserve">Panels; corrosion; prep; sheet metal; welding principles; structural repair boundaries</t>
  </si>
  <si>
    <t xml:space="preserve">S35</t>
  </si>
  <si>
    <t xml:space="preserve">SC10</t>
  </si>
  <si>
    <t xml:space="preserve">BLD-10</t>
  </si>
  <si>
    <t xml:space="preserve">Vehicle assembly integration</t>
  </si>
  <si>
    <t xml:space="preserve">Inventory; sequence; fluids; leak checks; pre-start; startup</t>
  </si>
  <si>
    <t xml:space="preserve">BLD-11</t>
  </si>
  <si>
    <t xml:space="preserve">Testing and validation</t>
  </si>
  <si>
    <t xml:space="preserve">Static inspection; scan; temperatures; oil pressure; charging; brakes; roadworthiness inspection</t>
  </si>
  <si>
    <t xml:space="preserve">S17</t>
  </si>
  <si>
    <t xml:space="preserve">BLD-12</t>
  </si>
  <si>
    <t xml:space="preserve">Build projects</t>
  </si>
  <si>
    <t xml:space="preserve">Eight graded projects from vehicle inspection to engineering report</t>
  </si>
  <si>
    <t xml:space="preserve">several</t>
  </si>
  <si>
    <t xml:space="preserve">RPR-A01</t>
  </si>
  <si>
    <t xml:space="preserve">3 Repair and Modify</t>
  </si>
  <si>
    <t xml:space="preserve">Repair curriculum: Engine</t>
  </si>
  <si>
    <t xml:space="preserve">24-point component template: function, failure modes, symptoms, diagnostic flow, tools, safety, stop-and-refer point, post-repair checks</t>
  </si>
  <si>
    <t xml:space="preserve">S07</t>
  </si>
  <si>
    <t xml:space="preserve">RPR-A02</t>
  </si>
  <si>
    <t xml:space="preserve">Repair curriculum: Transmission and clutch</t>
  </si>
  <si>
    <t xml:space="preserve">RPR-A03</t>
  </si>
  <si>
    <t xml:space="preserve">Repair curriculum: Differential</t>
  </si>
  <si>
    <t xml:space="preserve">RPR-A04</t>
  </si>
  <si>
    <t xml:space="preserve">Repair curriculum: Fuel delivery</t>
  </si>
  <si>
    <t xml:space="preserve">S32</t>
  </si>
  <si>
    <t xml:space="preserve">RPR-A05</t>
  </si>
  <si>
    <t xml:space="preserve">Repair curriculum: Ignition</t>
  </si>
  <si>
    <t xml:space="preserve">RPR-A06</t>
  </si>
  <si>
    <t xml:space="preserve">Repair curriculum: Intake</t>
  </si>
  <si>
    <t xml:space="preserve">RPR-A07</t>
  </si>
  <si>
    <t xml:space="preserve">Repair curriculum: Exhaust and emissions</t>
  </si>
  <si>
    <t xml:space="preserve">S30, S12</t>
  </si>
  <si>
    <t xml:space="preserve">RPR-A08</t>
  </si>
  <si>
    <t xml:space="preserve">Repair curriculum: Cooling</t>
  </si>
  <si>
    <t xml:space="preserve">RPR-A09</t>
  </si>
  <si>
    <t xml:space="preserve">Repair curriculum: Lubrication</t>
  </si>
  <si>
    <t xml:space="preserve">RPR-A10</t>
  </si>
  <si>
    <t xml:space="preserve">Repair curriculum: Electrical, charging and starting</t>
  </si>
  <si>
    <t xml:space="preserve">RPR-A11</t>
  </si>
  <si>
    <t xml:space="preserve">Repair curriculum: Sensors and actuators</t>
  </si>
  <si>
    <t xml:space="preserve">RPR-A12</t>
  </si>
  <si>
    <t xml:space="preserve">Repair curriculum: ECU and networks</t>
  </si>
  <si>
    <t xml:space="preserve">S11, S09</t>
  </si>
  <si>
    <t xml:space="preserve">RPR-A13</t>
  </si>
  <si>
    <t xml:space="preserve">Repair curriculum: Suspension</t>
  </si>
  <si>
    <t xml:space="preserve">RPR-A14</t>
  </si>
  <si>
    <t xml:space="preserve">Repair curriculum: Steering</t>
  </si>
  <si>
    <t xml:space="preserve">RPR-A15</t>
  </si>
  <si>
    <t xml:space="preserve">Repair curriculum: Brakes</t>
  </si>
  <si>
    <t xml:space="preserve">RPR-A16</t>
  </si>
  <si>
    <t xml:space="preserve">Repair curriculum: Wheels and tires</t>
  </si>
  <si>
    <t xml:space="preserve">S25</t>
  </si>
  <si>
    <t xml:space="preserve">RPR-A17</t>
  </si>
  <si>
    <t xml:space="preserve">Repair curriculum: Bodywork</t>
  </si>
  <si>
    <t xml:space="preserve">RPR-A18</t>
  </si>
  <si>
    <t xml:space="preserve">Repair curriculum: HVAC</t>
  </si>
  <si>
    <t xml:space="preserve">RPR-A19</t>
  </si>
  <si>
    <t xml:space="preserve">Repair curriculum: Hybrid systems</t>
  </si>
  <si>
    <t xml:space="preserve">S21</t>
  </si>
  <si>
    <t xml:space="preserve">RPR-A20</t>
  </si>
  <si>
    <t xml:space="preserve">Repair curriculum: EV systems</t>
  </si>
  <si>
    <t xml:space="preserve">S13, S20</t>
  </si>
  <si>
    <t xml:space="preserve">RPR-B</t>
  </si>
  <si>
    <t xml:space="preserve">Diagnostic cases (23 symptoms)</t>
  </si>
  <si>
    <t xml:space="preserve">Cranks no start; no crank; rough idle; misfire; economy; overheating; oil pressure; coolant loss; noises; slipping; charging; battery drain; ABS; vibration; tire wear; HV warnings</t>
  </si>
  <si>
    <t xml:space="preserve">SC01, SC03</t>
  </si>
  <si>
    <t xml:space="preserve">MOD-01</t>
  </si>
  <si>
    <t xml:space="preserve">Modification pathway: Intake and exhaust</t>
  </si>
  <si>
    <t xml:space="preserve">Principle; objective; limits; supporting mods; reliability; thermal stress; legal and emissions; validation; misconceptions</t>
  </si>
  <si>
    <t xml:space="preserve">SC12</t>
  </si>
  <si>
    <t xml:space="preserve">MOD-02</t>
  </si>
  <si>
    <t xml:space="preserve">Modification pathway: Forced induction and intercooling</t>
  </si>
  <si>
    <t xml:space="preserve">S08, S16</t>
  </si>
  <si>
    <t xml:space="preserve">MOD-03</t>
  </si>
  <si>
    <t xml:space="preserve">Modification pathway: Engine internals and compression</t>
  </si>
  <si>
    <t xml:space="preserve">S07, S32</t>
  </si>
  <si>
    <t xml:space="preserve">MOD-04</t>
  </si>
  <si>
    <t xml:space="preserve">Modification pathway: Fuel system, ECU and ignition tuning</t>
  </si>
  <si>
    <t xml:space="preserve">S12, S09</t>
  </si>
  <si>
    <t xml:space="preserve">MOD-05</t>
  </si>
  <si>
    <t xml:space="preserve">Modification pathway: Cooling and oil cooling</t>
  </si>
  <si>
    <t xml:space="preserve">MOD-06</t>
  </si>
  <si>
    <t xml:space="preserve">Modification pathway: Clutch, transmission, differential, gearing</t>
  </si>
  <si>
    <t xml:space="preserve">MOD-07</t>
  </si>
  <si>
    <t xml:space="preserve">Modification pathway: Suspension, alignment, dampers, springs, bars</t>
  </si>
  <si>
    <t xml:space="preserve">MOD-08</t>
  </si>
  <si>
    <t xml:space="preserve">Modification pathway: Brakes, wheels and tires</t>
  </si>
  <si>
    <t xml:space="preserve">S24, S25</t>
  </si>
  <si>
    <t xml:space="preserve">MOD-09</t>
  </si>
  <si>
    <t xml:space="preserve">Modification pathway: Aero, weight and chassis reinforcement</t>
  </si>
  <si>
    <t xml:space="preserve">MOD-10</t>
  </si>
  <si>
    <t xml:space="preserve">Modification pathway: Swaps, conversions, EV performance, track, off-road, restomod</t>
  </si>
  <si>
    <t xml:space="preserve">S12, S17</t>
  </si>
  <si>
    <t xml:space="preserve">Total planned</t>
  </si>
  <si>
    <t xml:space="preserve">v1 slice lessons</t>
  </si>
  <si>
    <t xml:space="preserve">Estimates</t>
  </si>
  <si>
    <t xml:space="preserve">Planning guesses by me, not validated</t>
  </si>
  <si>
    <t xml:space="preserve">Scope note</t>
  </si>
  <si>
    <t xml:space="preserve">Tier marks modules to start. The first build ships only the 12 lessons on the MVP Slice Traceability sheet; the rest of each v1 module stays planned.</t>
  </si>
  <si>
    <t xml:space="preserve">Lesson ID</t>
  </si>
  <si>
    <t xml:space="preserve">Title</t>
  </si>
  <si>
    <t xml:space="preserve">Mode(s)</t>
  </si>
  <si>
    <t xml:space="preserve">Source IDs</t>
  </si>
  <si>
    <t xml:space="preserve">Assessment</t>
  </si>
  <si>
    <t xml:space="preserve">Source-ready?</t>
  </si>
  <si>
    <t xml:space="preserve">Blocking gap</t>
  </si>
  <si>
    <t xml:space="preserve">L-ABT-02-01</t>
  </si>
  <si>
    <t xml:space="preserve">Four-stroke cycle (animated)</t>
  </si>
  <si>
    <t xml:space="preserve">Easy</t>
  </si>
  <si>
    <t xml:space="preserve">S47, S07</t>
  </si>
  <si>
    <t xml:space="preserve">Animation (play/step); 5-question quiz</t>
  </si>
  <si>
    <t xml:space="preserve">none</t>
  </si>
  <si>
    <t xml:space="preserve">Yes</t>
  </si>
  <si>
    <t xml:space="preserve">Idealised cycle: lesson must say real engines differ</t>
  </si>
  <si>
    <t xml:space="preserve">L-ABT-02-09</t>
  </si>
  <si>
    <t xml:space="preserve">Compression ratio, octane and knock</t>
  </si>
  <si>
    <t xml:space="preserve">Hard</t>
  </si>
  <si>
    <t xml:space="preserve">S32, S07</t>
  </si>
  <si>
    <t xml:space="preserve">Calculation + explain-why question</t>
  </si>
  <si>
    <t xml:space="preserve">L-ABT-05-02</t>
  </si>
  <si>
    <t xml:space="preserve">Reading an oil label: SAE vs API</t>
  </si>
  <si>
    <t xml:space="preserve">Label-the-image; matching</t>
  </si>
  <si>
    <t xml:space="preserve">Partial</t>
  </si>
  <si>
    <t xml:space="preserve">SAE J300 table itself not read</t>
  </si>
  <si>
    <t xml:space="preserve">L-ABT-06-07</t>
  </si>
  <si>
    <t xml:space="preserve">OBD-II basics: modes, freeze frame, codes</t>
  </si>
  <si>
    <t xml:space="preserve">Easy/Hard</t>
  </si>
  <si>
    <t xml:space="preserve">S09, S11</t>
  </si>
  <si>
    <t xml:space="preserve">Diagnostic simulator scenario</t>
  </si>
  <si>
    <t xml:space="preserve">SC14</t>
  </si>
  <si>
    <t xml:space="preserve">Code tables paywalled: teach format and method only</t>
  </si>
  <si>
    <t xml:space="preserve">L-ABT-08-03</t>
  </si>
  <si>
    <t xml:space="preserve">Brake hydraulics and brake fluid (principles)</t>
  </si>
  <si>
    <t xml:space="preserve">S44, S45, S24, S38, S06</t>
  </si>
  <si>
    <t xml:space="preserve">Fault-diagnosis scenario</t>
  </si>
  <si>
    <t xml:space="preserve">Fluid numbers now sourced (S44); hydraulic principles still need a textbook source</t>
  </si>
  <si>
    <t xml:space="preserve">L-ABT-08-06</t>
  </si>
  <si>
    <t xml:space="preserve">Reading a tire sidewall</t>
  </si>
  <si>
    <t xml:space="preserve">S46, S25</t>
  </si>
  <si>
    <t xml:space="preserve">Image-based identification</t>
  </si>
  <si>
    <t xml:space="preserve">FMVSS 139 marking rules sourced; load-index table needs ETRTO/TRA</t>
  </si>
  <si>
    <t xml:space="preserve">L-ABT-11-01</t>
  </si>
  <si>
    <t xml:space="preserve">EV system map</t>
  </si>
  <si>
    <t xml:space="preserve">S13</t>
  </si>
  <si>
    <t xml:space="preserve">Virtual garage tap-through</t>
  </si>
  <si>
    <t xml:space="preserve">SC01</t>
  </si>
  <si>
    <t xml:space="preserve">L-ABT-11-08</t>
  </si>
  <si>
    <t xml:space="preserve">High-voltage safety: why only trained people</t>
  </si>
  <si>
    <t xml:space="preserve">S21, S22, S48, S49</t>
  </si>
  <si>
    <t xml:space="preserve">Safety knowledge check (strict)</t>
  </si>
  <si>
    <t xml:space="preserve">Principle-level only; no service steps</t>
  </si>
  <si>
    <t xml:space="preserve">L-ABT-12-02</t>
  </si>
  <si>
    <t xml:space="preserve">What 'JDM' really means</t>
  </si>
  <si>
    <t xml:space="preserve">S29</t>
  </si>
  <si>
    <t xml:space="preserve">Matching; true/false</t>
  </si>
  <si>
    <t xml:space="preserve">Kei limits need primary source</t>
  </si>
  <si>
    <t xml:space="preserve">L-BLD-01-01</t>
  </si>
  <si>
    <t xml:space="preserve">Plan a vehicle project: law, budget, safety</t>
  </si>
  <si>
    <t xml:space="preserve">Planner checklist + quiz</t>
  </si>
  <si>
    <t xml:space="preserve">SC05, SC12</t>
  </si>
  <si>
    <t xml:space="preserve">Only US/EU/UK law sourced</t>
  </si>
  <si>
    <t xml:space="preserve">L-RPR-B-01</t>
  </si>
  <si>
    <t xml:space="preserve">Diagnosis method: symptom, code, cause</t>
  </si>
  <si>
    <t xml:space="preserve">Decision-tree simulation</t>
  </si>
  <si>
    <t xml:space="preserve">Case content needs OEM-agnostic source</t>
  </si>
  <si>
    <t xml:space="preserve">L-MOD-02-01</t>
  </si>
  <si>
    <t xml:space="preserve">Turbo basics: compressor map and boost</t>
  </si>
  <si>
    <t xml:space="preserve">Performance</t>
  </si>
  <si>
    <t xml:space="preserve">Calculator + map-reading task</t>
  </si>
  <si>
    <t xml:space="preserve">Add legal/emissions panel from S12</t>
  </si>
  <si>
    <t xml:space="preserve">Fully source-ready</t>
  </si>
  <si>
    <t xml:space="preserve">Partially ready</t>
  </si>
  <si>
    <t xml:space="preserve">Token</t>
  </si>
  <si>
    <t xml:space="preserve">Hex</t>
  </si>
  <si>
    <t xml:space="preserve">Use</t>
  </si>
  <si>
    <t xml:space="preserve">Notes</t>
  </si>
  <si>
    <t xml:space="preserve">Surface / white</t>
  </si>
  <si>
    <t xml:space="preserve">#FFFFFF</t>
  </si>
  <si>
    <t xml:space="preserve">Primary background and large cards</t>
  </si>
  <si>
    <t xml:space="preserve">Target about 55-60% of pixels</t>
  </si>
  <si>
    <t xml:space="preserve">Mist / light grey</t>
  </si>
  <si>
    <t xml:space="preserve">#F2F3F5</t>
  </si>
  <si>
    <t xml:space="preserve">Page field behind cards; inactive containers</t>
  </si>
  <si>
    <t xml:space="preserve">Target about 20%; with white, 75% or more of the screen</t>
  </si>
  <si>
    <t xml:space="preserve">Aluminium</t>
  </si>
  <si>
    <t xml:space="preserve">#C9CDD2</t>
  </si>
  <si>
    <t xml:space="preserve">Dividers, outlines, disabled tabs</t>
  </si>
  <si>
    <t xml:space="preserve">Decorative only; fails text contrast on white</t>
  </si>
  <si>
    <t xml:space="preserve">Steel</t>
  </si>
  <si>
    <t xml:space="preserve">#5B6270</t>
  </si>
  <si>
    <t xml:space="preserve">Secondary text, icons</t>
  </si>
  <si>
    <t xml:space="preserve">Text grey. Darkened from #6B7280, which was 4.25:1 on Mist (fails AA); #5B6270 is about 5.5:1 on Mist, 6.1:1 on white</t>
  </si>
  <si>
    <t xml:space="preserve">Graphite</t>
  </si>
  <si>
    <t xml:space="preserve">#2B2F36</t>
  </si>
  <si>
    <t xml:space="preserve">Active pill, dark cards, dark-theme surface</t>
  </si>
  <si>
    <t xml:space="preserve">About 10%</t>
  </si>
  <si>
    <t xml:space="preserve">Black</t>
  </si>
  <si>
    <t xml:space="preserve">#0E0F11</t>
  </si>
  <si>
    <t xml:space="preserve">Headlines, primary buttons, nav selected state</t>
  </si>
  <si>
    <t xml:space="preserve">About 5-8%</t>
  </si>
  <si>
    <t xml:space="preserve">Contrast pair</t>
  </si>
  <si>
    <t xml:space="preserve">Ratio (WCAG 2 formula, computed by script)</t>
  </si>
  <si>
    <t xml:space="preserve">Verdict</t>
  </si>
  <si>
    <t xml:space="preserve">#0E0F11 on #FFFFFF</t>
  </si>
  <si>
    <t xml:space="preserve">Pass AA text (4.5+)</t>
  </si>
  <si>
    <t xml:space="preserve">#6B7280 on #FFFFFF</t>
  </si>
  <si>
    <t xml:space="preserve">#FFFFFF on #2B2F36</t>
  </si>
  <si>
    <t xml:space="preserve">#C9CDD2 on #FFFFFF</t>
  </si>
  <si>
    <t xml:space="preserve">Not for text</t>
  </si>
  <si>
    <t xml:space="preserve">#0E0F11 on #F2F3F5</t>
  </si>
  <si>
    <t xml:space="preserve">Reference element</t>
  </si>
  <si>
    <t xml:space="preserve">SHIFT translation</t>
  </si>
  <si>
    <t xml:space="preserve">Huge two-line headline on calm field</t>
  </si>
  <si>
    <t xml:space="preserve">Section title in 40-48 sp bold, e.g. 'Learn the machine'</t>
  </si>
  <si>
    <t xml:space="preserve">Large hero object, top right</t>
  </si>
  <si>
    <t xml:space="preserve">Top-down grayscale technical illustration (piston, rotor, EV motor) that changes per section</t>
  </si>
  <si>
    <t xml:space="preserve">Pill tabs with count badges (All / Outdoor / Indoor)</t>
  </si>
  <si>
    <t xml:space="preserve">Mode or system pills with lesson counts: Easy, Hard, Performance, Top Formula</t>
  </si>
  <si>
    <t xml:space="preserve">Rows with thumbnail, title, three icon chips, square '+' button</t>
  </si>
  <si>
    <t xml:space="preserve">Lesson rows with part thumbnail, title, difficulty/time/safety chips, '+' to save to plan</t>
  </si>
  <si>
    <t xml:space="preserve">Detail screen: thumbnail rail left, big hero right, back and search header</t>
  </si>
  <si>
    <t xml:space="preserve">Component screen: related-part rail left, exploded diagram right; tap a rail item to switch part</t>
  </si>
  <si>
    <t xml:space="preserve">Bag icon top right</t>
  </si>
  <si>
    <t xml:space="preserve">Garage / project icon</t>
  </si>
  <si>
    <t xml:space="preserve">Very rounded containers, soft overlap of cards</t>
  </si>
  <si>
    <t xml:space="preserve">28-32 dp radius; stacked cards overlap by one row; no heavy shadows</t>
  </si>
  <si>
    <t xml:space="preserve">Chevron to scroll rail</t>
  </si>
  <si>
    <t xml:space="preserve">Keep: down chevron on the rail</t>
  </si>
  <si>
    <t xml:space="preserve">Rule</t>
  </si>
  <si>
    <t xml:space="preserve">Safety callouts: black block, white text, hazard-stripe edge in grey, 'SAFETY' label and icon. Colour is never the only signal.</t>
  </si>
  <si>
    <t xml:space="preserve">Dark theme: Graphite surfaces, white text; whites remain the accent role. Reduced-motion and text scaling supported.</t>
  </si>
  <si>
    <t xml:space="preserve">Open</t>
  </si>
  <si>
    <t xml:space="preserve">Typeface: pick an open-licence geometric sans and a mono for specs; confirm licences before bundling.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</si>
</sst>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B2F36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B2F3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B2F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32"/>
    <col collapsed="false" customWidth="true" hidden="false" outlineLevel="0" max="3" min="3" style="1" width="90"/>
    <col collapsed="false" customWidth="true" hidden="false" outlineLevel="0" max="4" min="4" style="1" width="50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23.25" hidden="false" customHeight="tru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23.25" hidden="false" customHeight="true" outlineLevel="0" collapsed="false">
      <c r="A3" s="3" t="s">
        <v>8</v>
      </c>
      <c r="B3" s="3" t="s">
        <v>9</v>
      </c>
      <c r="C3" s="3" t="s">
        <v>10</v>
      </c>
      <c r="D3" s="3" t="s">
        <v>11</v>
      </c>
    </row>
    <row r="4" customFormat="false" ht="23.25" hidden="false" customHeight="true" outlineLevel="0" collapsed="false">
      <c r="A4" s="3" t="s">
        <v>12</v>
      </c>
      <c r="B4" s="3" t="s">
        <v>13</v>
      </c>
      <c r="C4" s="3" t="s">
        <v>14</v>
      </c>
      <c r="D4" s="3" t="s">
        <v>15</v>
      </c>
    </row>
    <row r="5" customFormat="false" ht="23.25" hidden="false" customHeight="true" outlineLevel="0" collapsed="false">
      <c r="A5" s="3" t="s">
        <v>16</v>
      </c>
      <c r="B5" s="3" t="s">
        <v>17</v>
      </c>
      <c r="C5" s="3" t="s">
        <v>18</v>
      </c>
      <c r="D5" s="3" t="s">
        <v>19</v>
      </c>
    </row>
    <row r="6" customFormat="false" ht="23.25" hidden="false" customHeight="true" outlineLevel="0" collapsed="false">
      <c r="A6" s="3" t="s">
        <v>20</v>
      </c>
      <c r="B6" s="3" t="s">
        <v>21</v>
      </c>
      <c r="C6" s="3" t="s">
        <v>22</v>
      </c>
      <c r="D6" s="3" t="s">
        <v>23</v>
      </c>
    </row>
    <row r="7" customFormat="false" ht="23.25" hidden="false" customHeight="true" outlineLevel="0" collapsed="false">
      <c r="A7" s="3" t="s">
        <v>24</v>
      </c>
      <c r="B7" s="3" t="s">
        <v>25</v>
      </c>
      <c r="C7" s="3" t="s">
        <v>26</v>
      </c>
      <c r="D7" s="3" t="s">
        <v>27</v>
      </c>
    </row>
    <row r="8" customFormat="false" ht="23.25" hidden="false" customHeight="true" outlineLevel="0" collapsed="false">
      <c r="A8" s="3" t="s">
        <v>28</v>
      </c>
      <c r="B8" s="3" t="s">
        <v>29</v>
      </c>
      <c r="C8" s="3" t="s">
        <v>30</v>
      </c>
      <c r="D8" s="3" t="s">
        <v>31</v>
      </c>
    </row>
    <row r="9" customFormat="false" ht="23.25" hidden="false" customHeight="true" outlineLevel="0" collapsed="false">
      <c r="A9" s="3" t="s">
        <v>32</v>
      </c>
      <c r="B9" s="3" t="s">
        <v>33</v>
      </c>
      <c r="C9" s="3" t="s">
        <v>34</v>
      </c>
      <c r="D9" s="3" t="s">
        <v>35</v>
      </c>
    </row>
    <row r="10" customFormat="false" ht="23.25" hidden="false" customHeight="true" outlineLevel="0" collapsed="false">
      <c r="A10" s="3" t="s">
        <v>36</v>
      </c>
      <c r="B10" s="3" t="s">
        <v>37</v>
      </c>
      <c r="C10" s="3" t="s">
        <v>38</v>
      </c>
      <c r="D10" s="3" t="s">
        <v>39</v>
      </c>
    </row>
    <row r="11" customFormat="false" ht="34.5" hidden="false" customHeight="true" outlineLevel="0" collapsed="false">
      <c r="A11" s="3" t="s">
        <v>40</v>
      </c>
      <c r="B11" s="3" t="s">
        <v>41</v>
      </c>
      <c r="C11" s="3" t="s">
        <v>42</v>
      </c>
      <c r="D11" s="3" t="s">
        <v>43</v>
      </c>
    </row>
    <row r="13" customFormat="false" ht="15" hidden="false" customHeight="true" outlineLevel="0" collapsed="false">
      <c r="B13" s="4" t="s">
        <v>44</v>
      </c>
      <c r="C13" s="5" t="s">
        <v>45</v>
      </c>
      <c r="D13" s="6" t="n">
        <v>3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8"/>
    <col collapsed="false" customWidth="true" hidden="false" outlineLevel="0" max="3" min="3" style="1" width="40"/>
    <col collapsed="false" customWidth="true" hidden="false" outlineLevel="0" max="4" min="4" style="1" width="11"/>
    <col collapsed="false" customWidth="true" hidden="false" outlineLevel="0" max="5" min="5" style="1" width="70"/>
    <col collapsed="false" customWidth="true" hidden="false" outlineLevel="0" max="6" min="6" style="1" width="26"/>
    <col collapsed="false" customWidth="true" hidden="false" outlineLevel="0" max="7" min="7" style="1" width="14"/>
    <col collapsed="false" customWidth="true" hidden="false" outlineLevel="0" max="8" min="8" style="1" width="12"/>
  </cols>
  <sheetData>
    <row r="1" customFormat="false" ht="34.5" hidden="false" customHeight="true" outlineLevel="0" collapsed="false">
      <c r="A1" s="2" t="s">
        <v>46</v>
      </c>
      <c r="B1" s="2" t="s">
        <v>47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</row>
    <row r="2" customFormat="false" ht="23.25" hidden="false" customHeight="true" outlineLevel="0" collapsed="false">
      <c r="A2" s="3" t="s">
        <v>54</v>
      </c>
      <c r="B2" s="3" t="s">
        <v>55</v>
      </c>
      <c r="C2" s="3" t="s">
        <v>56</v>
      </c>
      <c r="D2" s="3" t="s">
        <v>57</v>
      </c>
      <c r="E2" s="3" t="s">
        <v>58</v>
      </c>
      <c r="F2" s="3" t="s">
        <v>59</v>
      </c>
      <c r="G2" s="3"/>
      <c r="H2" s="7" t="n">
        <v>8</v>
      </c>
    </row>
    <row r="3" customFormat="false" ht="34.5" hidden="false" customHeight="true" outlineLevel="0" collapsed="false">
      <c r="A3" s="3" t="s">
        <v>60</v>
      </c>
      <c r="B3" s="3" t="s">
        <v>55</v>
      </c>
      <c r="C3" s="3" t="s">
        <v>61</v>
      </c>
      <c r="D3" s="3" t="s">
        <v>57</v>
      </c>
      <c r="E3" s="3" t="s">
        <v>62</v>
      </c>
      <c r="F3" s="3" t="s">
        <v>63</v>
      </c>
      <c r="G3" s="3"/>
      <c r="H3" s="7" t="n">
        <v>16</v>
      </c>
    </row>
    <row r="4" customFormat="false" ht="23.25" hidden="false" customHeight="true" outlineLevel="0" collapsed="false">
      <c r="A4" s="3" t="s">
        <v>64</v>
      </c>
      <c r="B4" s="3" t="s">
        <v>55</v>
      </c>
      <c r="C4" s="3" t="s">
        <v>65</v>
      </c>
      <c r="D4" s="3" t="s">
        <v>66</v>
      </c>
      <c r="E4" s="3" t="s">
        <v>67</v>
      </c>
      <c r="F4" s="3" t="s">
        <v>68</v>
      </c>
      <c r="G4" s="3"/>
      <c r="H4" s="7" t="n">
        <v>10</v>
      </c>
    </row>
    <row r="5" customFormat="false" ht="23.25" hidden="false" customHeight="true" outlineLevel="0" collapsed="false">
      <c r="A5" s="3" t="s">
        <v>69</v>
      </c>
      <c r="B5" s="3" t="s">
        <v>55</v>
      </c>
      <c r="C5" s="3" t="s">
        <v>70</v>
      </c>
      <c r="D5" s="3" t="s">
        <v>66</v>
      </c>
      <c r="E5" s="3" t="s">
        <v>71</v>
      </c>
      <c r="F5" s="3" t="s">
        <v>72</v>
      </c>
      <c r="G5" s="3" t="s">
        <v>73</v>
      </c>
      <c r="H5" s="7" t="n">
        <v>10</v>
      </c>
    </row>
    <row r="6" customFormat="false" ht="23.25" hidden="false" customHeight="true" outlineLevel="0" collapsed="false">
      <c r="A6" s="3" t="s">
        <v>74</v>
      </c>
      <c r="B6" s="3" t="s">
        <v>55</v>
      </c>
      <c r="C6" s="3" t="s">
        <v>75</v>
      </c>
      <c r="D6" s="3" t="s">
        <v>57</v>
      </c>
      <c r="E6" s="3" t="s">
        <v>76</v>
      </c>
      <c r="F6" s="3" t="s">
        <v>77</v>
      </c>
      <c r="G6" s="3" t="s">
        <v>78</v>
      </c>
      <c r="H6" s="7" t="n">
        <v>8</v>
      </c>
    </row>
    <row r="7" customFormat="false" ht="23.25" hidden="false" customHeight="true" outlineLevel="0" collapsed="false">
      <c r="A7" s="3" t="s">
        <v>79</v>
      </c>
      <c r="B7" s="3" t="s">
        <v>55</v>
      </c>
      <c r="C7" s="3" t="s">
        <v>80</v>
      </c>
      <c r="D7" s="3" t="s">
        <v>57</v>
      </c>
      <c r="E7" s="3" t="s">
        <v>81</v>
      </c>
      <c r="F7" s="3" t="s">
        <v>82</v>
      </c>
      <c r="G7" s="3" t="s">
        <v>83</v>
      </c>
      <c r="H7" s="7" t="n">
        <v>14</v>
      </c>
    </row>
    <row r="8" customFormat="false" ht="23.25" hidden="false" customHeight="true" outlineLevel="0" collapsed="false">
      <c r="A8" s="3" t="s">
        <v>84</v>
      </c>
      <c r="B8" s="3" t="s">
        <v>55</v>
      </c>
      <c r="C8" s="3" t="s">
        <v>85</v>
      </c>
      <c r="D8" s="3" t="s">
        <v>66</v>
      </c>
      <c r="E8" s="3" t="s">
        <v>86</v>
      </c>
      <c r="F8" s="3" t="s">
        <v>87</v>
      </c>
      <c r="G8" s="3" t="s">
        <v>88</v>
      </c>
      <c r="H8" s="7" t="n">
        <v>12</v>
      </c>
    </row>
    <row r="9" customFormat="false" ht="23.25" hidden="false" customHeight="true" outlineLevel="0" collapsed="false">
      <c r="A9" s="3" t="s">
        <v>89</v>
      </c>
      <c r="B9" s="3" t="s">
        <v>55</v>
      </c>
      <c r="C9" s="3" t="s">
        <v>90</v>
      </c>
      <c r="D9" s="3" t="s">
        <v>57</v>
      </c>
      <c r="E9" s="3" t="s">
        <v>91</v>
      </c>
      <c r="F9" s="3" t="s">
        <v>92</v>
      </c>
      <c r="G9" s="3" t="s">
        <v>93</v>
      </c>
      <c r="H9" s="7" t="n">
        <v>12</v>
      </c>
    </row>
    <row r="10" customFormat="false" ht="23.25" hidden="false" customHeight="true" outlineLevel="0" collapsed="false">
      <c r="A10" s="3" t="s">
        <v>94</v>
      </c>
      <c r="B10" s="3" t="s">
        <v>55</v>
      </c>
      <c r="C10" s="3" t="s">
        <v>95</v>
      </c>
      <c r="D10" s="3" t="s">
        <v>66</v>
      </c>
      <c r="E10" s="3" t="s">
        <v>96</v>
      </c>
      <c r="F10" s="3" t="s">
        <v>87</v>
      </c>
      <c r="G10" s="3"/>
      <c r="H10" s="7" t="n">
        <v>10</v>
      </c>
    </row>
    <row r="11" customFormat="false" ht="23.25" hidden="false" customHeight="true" outlineLevel="0" collapsed="false">
      <c r="A11" s="3" t="s">
        <v>97</v>
      </c>
      <c r="B11" s="3" t="s">
        <v>55</v>
      </c>
      <c r="C11" s="3" t="s">
        <v>98</v>
      </c>
      <c r="D11" s="3" t="s">
        <v>66</v>
      </c>
      <c r="E11" s="3" t="s">
        <v>99</v>
      </c>
      <c r="F11" s="3" t="s">
        <v>100</v>
      </c>
      <c r="G11" s="3" t="s">
        <v>101</v>
      </c>
      <c r="H11" s="7" t="n">
        <v>10</v>
      </c>
    </row>
    <row r="12" customFormat="false" ht="23.25" hidden="false" customHeight="true" outlineLevel="0" collapsed="false">
      <c r="A12" s="3" t="s">
        <v>102</v>
      </c>
      <c r="B12" s="3" t="s">
        <v>55</v>
      </c>
      <c r="C12" s="3" t="s">
        <v>103</v>
      </c>
      <c r="D12" s="3" t="s">
        <v>57</v>
      </c>
      <c r="E12" s="3" t="s">
        <v>104</v>
      </c>
      <c r="F12" s="3" t="s">
        <v>105</v>
      </c>
      <c r="G12" s="3" t="s">
        <v>106</v>
      </c>
      <c r="H12" s="7" t="n">
        <v>14</v>
      </c>
    </row>
    <row r="13" customFormat="false" ht="23.25" hidden="false" customHeight="true" outlineLevel="0" collapsed="false">
      <c r="A13" s="3" t="s">
        <v>107</v>
      </c>
      <c r="B13" s="3" t="s">
        <v>55</v>
      </c>
      <c r="C13" s="3" t="s">
        <v>108</v>
      </c>
      <c r="D13" s="3" t="s">
        <v>57</v>
      </c>
      <c r="E13" s="3" t="s">
        <v>109</v>
      </c>
      <c r="F13" s="3" t="s">
        <v>110</v>
      </c>
      <c r="G13" s="3"/>
      <c r="H13" s="7" t="n">
        <v>10</v>
      </c>
    </row>
    <row r="14" customFormat="false" ht="23.25" hidden="false" customHeight="true" outlineLevel="0" collapsed="false">
      <c r="A14" s="3" t="s">
        <v>111</v>
      </c>
      <c r="B14" s="3" t="s">
        <v>112</v>
      </c>
      <c r="C14" s="3" t="s">
        <v>113</v>
      </c>
      <c r="D14" s="3" t="s">
        <v>57</v>
      </c>
      <c r="E14" s="3" t="s">
        <v>114</v>
      </c>
      <c r="F14" s="3" t="s">
        <v>115</v>
      </c>
      <c r="G14" s="3" t="s">
        <v>116</v>
      </c>
      <c r="H14" s="7" t="n">
        <v>6</v>
      </c>
    </row>
    <row r="15" customFormat="false" ht="23.25" hidden="false" customHeight="true" outlineLevel="0" collapsed="false">
      <c r="A15" s="3" t="s">
        <v>117</v>
      </c>
      <c r="B15" s="3" t="s">
        <v>112</v>
      </c>
      <c r="C15" s="3" t="s">
        <v>118</v>
      </c>
      <c r="D15" s="3" t="s">
        <v>66</v>
      </c>
      <c r="E15" s="3" t="s">
        <v>119</v>
      </c>
      <c r="F15" s="3" t="s">
        <v>120</v>
      </c>
      <c r="G15" s="3"/>
      <c r="H15" s="7" t="n">
        <v>8</v>
      </c>
    </row>
    <row r="16" customFormat="false" ht="23.25" hidden="false" customHeight="true" outlineLevel="0" collapsed="false">
      <c r="A16" s="3" t="s">
        <v>121</v>
      </c>
      <c r="B16" s="3" t="s">
        <v>112</v>
      </c>
      <c r="C16" s="3" t="s">
        <v>122</v>
      </c>
      <c r="D16" s="3" t="s">
        <v>123</v>
      </c>
      <c r="E16" s="3" t="s">
        <v>124</v>
      </c>
      <c r="F16" s="3" t="s">
        <v>125</v>
      </c>
      <c r="G16" s="3"/>
      <c r="H16" s="7" t="n">
        <v>14</v>
      </c>
    </row>
    <row r="17" customFormat="false" ht="15" hidden="false" customHeight="true" outlineLevel="0" collapsed="false">
      <c r="A17" s="3" t="s">
        <v>126</v>
      </c>
      <c r="B17" s="3" t="s">
        <v>112</v>
      </c>
      <c r="C17" s="3" t="s">
        <v>127</v>
      </c>
      <c r="D17" s="3" t="s">
        <v>123</v>
      </c>
      <c r="E17" s="3" t="s">
        <v>128</v>
      </c>
      <c r="F17" s="3" t="s">
        <v>129</v>
      </c>
      <c r="G17" s="3"/>
      <c r="H17" s="7" t="n">
        <v>8</v>
      </c>
    </row>
    <row r="18" customFormat="false" ht="23.25" hidden="false" customHeight="true" outlineLevel="0" collapsed="false">
      <c r="A18" s="3" t="s">
        <v>130</v>
      </c>
      <c r="B18" s="3" t="s">
        <v>112</v>
      </c>
      <c r="C18" s="3" t="s">
        <v>131</v>
      </c>
      <c r="D18" s="3" t="s">
        <v>123</v>
      </c>
      <c r="E18" s="3" t="s">
        <v>132</v>
      </c>
      <c r="F18" s="3" t="s">
        <v>87</v>
      </c>
      <c r="G18" s="3" t="s">
        <v>88</v>
      </c>
      <c r="H18" s="7" t="n">
        <v>8</v>
      </c>
    </row>
    <row r="19" customFormat="false" ht="15" hidden="false" customHeight="true" outlineLevel="0" collapsed="false">
      <c r="A19" s="3" t="s">
        <v>133</v>
      </c>
      <c r="B19" s="3" t="s">
        <v>112</v>
      </c>
      <c r="C19" s="3" t="s">
        <v>134</v>
      </c>
      <c r="D19" s="3" t="s">
        <v>123</v>
      </c>
      <c r="E19" s="3" t="s">
        <v>135</v>
      </c>
      <c r="F19" s="3" t="s">
        <v>136</v>
      </c>
      <c r="G19" s="3" t="s">
        <v>137</v>
      </c>
      <c r="H19" s="7" t="n">
        <v>8</v>
      </c>
    </row>
    <row r="20" customFormat="false" ht="15" hidden="false" customHeight="true" outlineLevel="0" collapsed="false">
      <c r="A20" s="3" t="s">
        <v>138</v>
      </c>
      <c r="B20" s="3" t="s">
        <v>112</v>
      </c>
      <c r="C20" s="3" t="s">
        <v>139</v>
      </c>
      <c r="D20" s="3" t="s">
        <v>123</v>
      </c>
      <c r="E20" s="3" t="s">
        <v>140</v>
      </c>
      <c r="F20" s="3" t="s">
        <v>141</v>
      </c>
      <c r="G20" s="3"/>
      <c r="H20" s="7" t="n">
        <v>8</v>
      </c>
    </row>
    <row r="21" customFormat="false" ht="23.25" hidden="false" customHeight="true" outlineLevel="0" collapsed="false">
      <c r="A21" s="3" t="s">
        <v>142</v>
      </c>
      <c r="B21" s="3" t="s">
        <v>112</v>
      </c>
      <c r="C21" s="3" t="s">
        <v>143</v>
      </c>
      <c r="D21" s="3" t="s">
        <v>123</v>
      </c>
      <c r="E21" s="3" t="s">
        <v>144</v>
      </c>
      <c r="F21" s="3" t="s">
        <v>145</v>
      </c>
      <c r="G21" s="3" t="s">
        <v>146</v>
      </c>
      <c r="H21" s="7" t="n">
        <v>8</v>
      </c>
    </row>
    <row r="22" customFormat="false" ht="15" hidden="false" customHeight="true" outlineLevel="0" collapsed="false">
      <c r="A22" s="3" t="s">
        <v>147</v>
      </c>
      <c r="B22" s="3" t="s">
        <v>112</v>
      </c>
      <c r="C22" s="3" t="s">
        <v>148</v>
      </c>
      <c r="D22" s="3" t="s">
        <v>123</v>
      </c>
      <c r="E22" s="3" t="s">
        <v>149</v>
      </c>
      <c r="F22" s="3" t="s">
        <v>150</v>
      </c>
      <c r="G22" s="3" t="s">
        <v>151</v>
      </c>
      <c r="H22" s="7" t="n">
        <v>8</v>
      </c>
    </row>
    <row r="23" customFormat="false" ht="15" hidden="false" customHeight="true" outlineLevel="0" collapsed="false">
      <c r="A23" s="3" t="s">
        <v>152</v>
      </c>
      <c r="B23" s="3" t="s">
        <v>112</v>
      </c>
      <c r="C23" s="3" t="s">
        <v>153</v>
      </c>
      <c r="D23" s="3" t="s">
        <v>123</v>
      </c>
      <c r="E23" s="3" t="s">
        <v>154</v>
      </c>
      <c r="F23" s="3" t="s">
        <v>129</v>
      </c>
      <c r="G23" s="3"/>
      <c r="H23" s="7" t="n">
        <v>6</v>
      </c>
    </row>
    <row r="24" customFormat="false" ht="23.25" hidden="false" customHeight="true" outlineLevel="0" collapsed="false">
      <c r="A24" s="3" t="s">
        <v>155</v>
      </c>
      <c r="B24" s="3" t="s">
        <v>112</v>
      </c>
      <c r="C24" s="3" t="s">
        <v>156</v>
      </c>
      <c r="D24" s="3" t="s">
        <v>123</v>
      </c>
      <c r="E24" s="3" t="s">
        <v>157</v>
      </c>
      <c r="F24" s="3" t="s">
        <v>158</v>
      </c>
      <c r="G24" s="3" t="s">
        <v>137</v>
      </c>
      <c r="H24" s="7" t="n">
        <v>8</v>
      </c>
    </row>
    <row r="25" customFormat="false" ht="15" hidden="false" customHeight="true" outlineLevel="0" collapsed="false">
      <c r="A25" s="3" t="s">
        <v>159</v>
      </c>
      <c r="B25" s="3" t="s">
        <v>112</v>
      </c>
      <c r="C25" s="3" t="s">
        <v>160</v>
      </c>
      <c r="D25" s="3" t="s">
        <v>123</v>
      </c>
      <c r="E25" s="3" t="s">
        <v>161</v>
      </c>
      <c r="F25" s="3" t="s">
        <v>162</v>
      </c>
      <c r="G25" s="3"/>
      <c r="H25" s="7" t="n">
        <v>8</v>
      </c>
    </row>
    <row r="26" customFormat="false" ht="23.25" hidden="false" customHeight="true" outlineLevel="0" collapsed="false">
      <c r="A26" s="3" t="s">
        <v>163</v>
      </c>
      <c r="B26" s="3" t="s">
        <v>164</v>
      </c>
      <c r="C26" s="3" t="s">
        <v>165</v>
      </c>
      <c r="D26" s="3" t="s">
        <v>123</v>
      </c>
      <c r="E26" s="3" t="s">
        <v>166</v>
      </c>
      <c r="F26" s="3" t="s">
        <v>167</v>
      </c>
      <c r="G26" s="3"/>
      <c r="H26" s="7" t="n">
        <v>5</v>
      </c>
    </row>
    <row r="27" customFormat="false" ht="23.25" hidden="false" customHeight="true" outlineLevel="0" collapsed="false">
      <c r="A27" s="3" t="s">
        <v>168</v>
      </c>
      <c r="B27" s="3" t="s">
        <v>164</v>
      </c>
      <c r="C27" s="3" t="s">
        <v>169</v>
      </c>
      <c r="D27" s="3" t="s">
        <v>123</v>
      </c>
      <c r="E27" s="3" t="s">
        <v>166</v>
      </c>
      <c r="F27" s="3"/>
      <c r="G27" s="3"/>
      <c r="H27" s="7" t="n">
        <v>5</v>
      </c>
    </row>
    <row r="28" customFormat="false" ht="23.25" hidden="false" customHeight="true" outlineLevel="0" collapsed="false">
      <c r="A28" s="3" t="s">
        <v>170</v>
      </c>
      <c r="B28" s="3" t="s">
        <v>164</v>
      </c>
      <c r="C28" s="3" t="s">
        <v>171</v>
      </c>
      <c r="D28" s="3" t="s">
        <v>123</v>
      </c>
      <c r="E28" s="3" t="s">
        <v>166</v>
      </c>
      <c r="F28" s="3"/>
      <c r="G28" s="3"/>
      <c r="H28" s="7" t="n">
        <v>5</v>
      </c>
    </row>
    <row r="29" customFormat="false" ht="23.25" hidden="false" customHeight="true" outlineLevel="0" collapsed="false">
      <c r="A29" s="3" t="s">
        <v>172</v>
      </c>
      <c r="B29" s="3" t="s">
        <v>164</v>
      </c>
      <c r="C29" s="3" t="s">
        <v>173</v>
      </c>
      <c r="D29" s="3" t="s">
        <v>123</v>
      </c>
      <c r="E29" s="3" t="s">
        <v>166</v>
      </c>
      <c r="F29" s="3" t="s">
        <v>174</v>
      </c>
      <c r="G29" s="3"/>
      <c r="H29" s="7" t="n">
        <v>5</v>
      </c>
    </row>
    <row r="30" customFormat="false" ht="23.25" hidden="false" customHeight="true" outlineLevel="0" collapsed="false">
      <c r="A30" s="3" t="s">
        <v>175</v>
      </c>
      <c r="B30" s="3" t="s">
        <v>164</v>
      </c>
      <c r="C30" s="3" t="s">
        <v>176</v>
      </c>
      <c r="D30" s="3" t="s">
        <v>123</v>
      </c>
      <c r="E30" s="3" t="s">
        <v>166</v>
      </c>
      <c r="F30" s="3"/>
      <c r="G30" s="3"/>
      <c r="H30" s="7" t="n">
        <v>5</v>
      </c>
    </row>
    <row r="31" customFormat="false" ht="23.25" hidden="false" customHeight="true" outlineLevel="0" collapsed="false">
      <c r="A31" s="3" t="s">
        <v>177</v>
      </c>
      <c r="B31" s="3" t="s">
        <v>164</v>
      </c>
      <c r="C31" s="3" t="s">
        <v>178</v>
      </c>
      <c r="D31" s="3" t="s">
        <v>123</v>
      </c>
      <c r="E31" s="3" t="s">
        <v>166</v>
      </c>
      <c r="F31" s="3"/>
      <c r="G31" s="3"/>
      <c r="H31" s="7" t="n">
        <v>5</v>
      </c>
    </row>
    <row r="32" customFormat="false" ht="23.25" hidden="false" customHeight="true" outlineLevel="0" collapsed="false">
      <c r="A32" s="3" t="s">
        <v>179</v>
      </c>
      <c r="B32" s="3" t="s">
        <v>164</v>
      </c>
      <c r="C32" s="3" t="s">
        <v>180</v>
      </c>
      <c r="D32" s="3" t="s">
        <v>123</v>
      </c>
      <c r="E32" s="3" t="s">
        <v>166</v>
      </c>
      <c r="F32" s="3" t="s">
        <v>181</v>
      </c>
      <c r="G32" s="3"/>
      <c r="H32" s="7" t="n">
        <v>5</v>
      </c>
    </row>
    <row r="33" customFormat="false" ht="23.25" hidden="false" customHeight="true" outlineLevel="0" collapsed="false">
      <c r="A33" s="3" t="s">
        <v>182</v>
      </c>
      <c r="B33" s="3" t="s">
        <v>164</v>
      </c>
      <c r="C33" s="3" t="s">
        <v>183</v>
      </c>
      <c r="D33" s="3" t="s">
        <v>123</v>
      </c>
      <c r="E33" s="3" t="s">
        <v>166</v>
      </c>
      <c r="F33" s="3" t="s">
        <v>78</v>
      </c>
      <c r="G33" s="3"/>
      <c r="H33" s="7" t="n">
        <v>5</v>
      </c>
    </row>
    <row r="34" customFormat="false" ht="23.25" hidden="false" customHeight="true" outlineLevel="0" collapsed="false">
      <c r="A34" s="3" t="s">
        <v>184</v>
      </c>
      <c r="B34" s="3" t="s">
        <v>164</v>
      </c>
      <c r="C34" s="3" t="s">
        <v>185</v>
      </c>
      <c r="D34" s="3" t="s">
        <v>57</v>
      </c>
      <c r="E34" s="3" t="s">
        <v>166</v>
      </c>
      <c r="F34" s="3" t="s">
        <v>77</v>
      </c>
      <c r="G34" s="3"/>
      <c r="H34" s="7" t="n">
        <v>5</v>
      </c>
    </row>
    <row r="35" customFormat="false" ht="23.25" hidden="false" customHeight="true" outlineLevel="0" collapsed="false">
      <c r="A35" s="3" t="s">
        <v>186</v>
      </c>
      <c r="B35" s="3" t="s">
        <v>164</v>
      </c>
      <c r="C35" s="3" t="s">
        <v>187</v>
      </c>
      <c r="D35" s="3" t="s">
        <v>123</v>
      </c>
      <c r="E35" s="3" t="s">
        <v>166</v>
      </c>
      <c r="F35" s="3"/>
      <c r="G35" s="3"/>
      <c r="H35" s="7" t="n">
        <v>5</v>
      </c>
    </row>
    <row r="36" customFormat="false" ht="23.25" hidden="false" customHeight="true" outlineLevel="0" collapsed="false">
      <c r="A36" s="3" t="s">
        <v>188</v>
      </c>
      <c r="B36" s="3" t="s">
        <v>164</v>
      </c>
      <c r="C36" s="3" t="s">
        <v>189</v>
      </c>
      <c r="D36" s="3" t="s">
        <v>123</v>
      </c>
      <c r="E36" s="3" t="s">
        <v>166</v>
      </c>
      <c r="F36" s="3" t="s">
        <v>141</v>
      </c>
      <c r="G36" s="3"/>
      <c r="H36" s="7" t="n">
        <v>5</v>
      </c>
    </row>
    <row r="37" customFormat="false" ht="23.25" hidden="false" customHeight="true" outlineLevel="0" collapsed="false">
      <c r="A37" s="3" t="s">
        <v>190</v>
      </c>
      <c r="B37" s="3" t="s">
        <v>164</v>
      </c>
      <c r="C37" s="3" t="s">
        <v>191</v>
      </c>
      <c r="D37" s="3" t="s">
        <v>57</v>
      </c>
      <c r="E37" s="3" t="s">
        <v>166</v>
      </c>
      <c r="F37" s="3" t="s">
        <v>192</v>
      </c>
      <c r="G37" s="3"/>
      <c r="H37" s="7" t="n">
        <v>5</v>
      </c>
    </row>
    <row r="38" customFormat="false" ht="23.25" hidden="false" customHeight="true" outlineLevel="0" collapsed="false">
      <c r="A38" s="3" t="s">
        <v>193</v>
      </c>
      <c r="B38" s="3" t="s">
        <v>164</v>
      </c>
      <c r="C38" s="3" t="s">
        <v>194</v>
      </c>
      <c r="D38" s="3" t="s">
        <v>123</v>
      </c>
      <c r="E38" s="3" t="s">
        <v>166</v>
      </c>
      <c r="F38" s="3"/>
      <c r="G38" s="3"/>
      <c r="H38" s="7" t="n">
        <v>5</v>
      </c>
    </row>
    <row r="39" customFormat="false" ht="23.25" hidden="false" customHeight="true" outlineLevel="0" collapsed="false">
      <c r="A39" s="3" t="s">
        <v>195</v>
      </c>
      <c r="B39" s="3" t="s">
        <v>164</v>
      </c>
      <c r="C39" s="3" t="s">
        <v>196</v>
      </c>
      <c r="D39" s="3" t="s">
        <v>123</v>
      </c>
      <c r="E39" s="3" t="s">
        <v>166</v>
      </c>
      <c r="F39" s="3"/>
      <c r="G39" s="3"/>
      <c r="H39" s="7" t="n">
        <v>5</v>
      </c>
    </row>
    <row r="40" customFormat="false" ht="23.25" hidden="false" customHeight="true" outlineLevel="0" collapsed="false">
      <c r="A40" s="3" t="s">
        <v>197</v>
      </c>
      <c r="B40" s="3" t="s">
        <v>164</v>
      </c>
      <c r="C40" s="3" t="s">
        <v>198</v>
      </c>
      <c r="D40" s="3" t="s">
        <v>57</v>
      </c>
      <c r="E40" s="3" t="s">
        <v>166</v>
      </c>
      <c r="F40" s="3" t="s">
        <v>136</v>
      </c>
      <c r="G40" s="3" t="s">
        <v>137</v>
      </c>
      <c r="H40" s="7" t="n">
        <v>5</v>
      </c>
    </row>
    <row r="41" customFormat="false" ht="23.25" hidden="false" customHeight="true" outlineLevel="0" collapsed="false">
      <c r="A41" s="3" t="s">
        <v>199</v>
      </c>
      <c r="B41" s="3" t="s">
        <v>164</v>
      </c>
      <c r="C41" s="3" t="s">
        <v>200</v>
      </c>
      <c r="D41" s="3" t="s">
        <v>57</v>
      </c>
      <c r="E41" s="3" t="s">
        <v>166</v>
      </c>
      <c r="F41" s="3" t="s">
        <v>201</v>
      </c>
      <c r="G41" s="3"/>
      <c r="H41" s="7" t="n">
        <v>5</v>
      </c>
    </row>
    <row r="42" customFormat="false" ht="23.25" hidden="false" customHeight="true" outlineLevel="0" collapsed="false">
      <c r="A42" s="3" t="s">
        <v>202</v>
      </c>
      <c r="B42" s="3" t="s">
        <v>164</v>
      </c>
      <c r="C42" s="3" t="s">
        <v>203</v>
      </c>
      <c r="D42" s="3" t="s">
        <v>123</v>
      </c>
      <c r="E42" s="3" t="s">
        <v>166</v>
      </c>
      <c r="F42" s="3" t="s">
        <v>150</v>
      </c>
      <c r="G42" s="3"/>
      <c r="H42" s="7" t="n">
        <v>5</v>
      </c>
    </row>
    <row r="43" customFormat="false" ht="23.25" hidden="false" customHeight="true" outlineLevel="0" collapsed="false">
      <c r="A43" s="3" t="s">
        <v>204</v>
      </c>
      <c r="B43" s="3" t="s">
        <v>164</v>
      </c>
      <c r="C43" s="3" t="s">
        <v>205</v>
      </c>
      <c r="D43" s="3" t="s">
        <v>123</v>
      </c>
      <c r="E43" s="3" t="s">
        <v>166</v>
      </c>
      <c r="F43" s="3"/>
      <c r="G43" s="3"/>
      <c r="H43" s="7" t="n">
        <v>5</v>
      </c>
    </row>
    <row r="44" customFormat="false" ht="23.25" hidden="false" customHeight="true" outlineLevel="0" collapsed="false">
      <c r="A44" s="3" t="s">
        <v>206</v>
      </c>
      <c r="B44" s="3" t="s">
        <v>164</v>
      </c>
      <c r="C44" s="3" t="s">
        <v>207</v>
      </c>
      <c r="D44" s="3" t="s">
        <v>123</v>
      </c>
      <c r="E44" s="3" t="s">
        <v>166</v>
      </c>
      <c r="F44" s="3" t="s">
        <v>208</v>
      </c>
      <c r="G44" s="3" t="s">
        <v>106</v>
      </c>
      <c r="H44" s="7" t="n">
        <v>5</v>
      </c>
    </row>
    <row r="45" customFormat="false" ht="23.25" hidden="false" customHeight="true" outlineLevel="0" collapsed="false">
      <c r="A45" s="3" t="s">
        <v>209</v>
      </c>
      <c r="B45" s="3" t="s">
        <v>164</v>
      </c>
      <c r="C45" s="3" t="s">
        <v>210</v>
      </c>
      <c r="D45" s="3" t="s">
        <v>123</v>
      </c>
      <c r="E45" s="3" t="s">
        <v>166</v>
      </c>
      <c r="F45" s="3" t="s">
        <v>211</v>
      </c>
      <c r="G45" s="3" t="s">
        <v>106</v>
      </c>
      <c r="H45" s="7" t="n">
        <v>5</v>
      </c>
    </row>
    <row r="46" customFormat="false" ht="34.5" hidden="false" customHeight="true" outlineLevel="0" collapsed="false">
      <c r="A46" s="3" t="s">
        <v>212</v>
      </c>
      <c r="B46" s="3" t="s">
        <v>164</v>
      </c>
      <c r="C46" s="3" t="s">
        <v>213</v>
      </c>
      <c r="D46" s="3" t="s">
        <v>57</v>
      </c>
      <c r="E46" s="3" t="s">
        <v>214</v>
      </c>
      <c r="F46" s="3" t="s">
        <v>141</v>
      </c>
      <c r="G46" s="3" t="s">
        <v>215</v>
      </c>
      <c r="H46" s="7" t="n">
        <v>23</v>
      </c>
    </row>
    <row r="47" customFormat="false" ht="23.25" hidden="false" customHeight="true" outlineLevel="0" collapsed="false">
      <c r="A47" s="3" t="s">
        <v>216</v>
      </c>
      <c r="B47" s="3" t="s">
        <v>164</v>
      </c>
      <c r="C47" s="3" t="s">
        <v>217</v>
      </c>
      <c r="D47" s="3" t="s">
        <v>123</v>
      </c>
      <c r="E47" s="3" t="s">
        <v>218</v>
      </c>
      <c r="F47" s="3" t="s">
        <v>145</v>
      </c>
      <c r="G47" s="3" t="s">
        <v>219</v>
      </c>
      <c r="H47" s="7" t="n">
        <v>4</v>
      </c>
    </row>
    <row r="48" customFormat="false" ht="23.25" hidden="false" customHeight="true" outlineLevel="0" collapsed="false">
      <c r="A48" s="3" t="s">
        <v>220</v>
      </c>
      <c r="B48" s="3" t="s">
        <v>164</v>
      </c>
      <c r="C48" s="3" t="s">
        <v>221</v>
      </c>
      <c r="D48" s="3" t="s">
        <v>57</v>
      </c>
      <c r="E48" s="3" t="s">
        <v>218</v>
      </c>
      <c r="F48" s="3" t="s">
        <v>222</v>
      </c>
      <c r="G48" s="3" t="s">
        <v>219</v>
      </c>
      <c r="H48" s="7" t="n">
        <v>4</v>
      </c>
    </row>
    <row r="49" customFormat="false" ht="23.25" hidden="false" customHeight="true" outlineLevel="0" collapsed="false">
      <c r="A49" s="3" t="s">
        <v>223</v>
      </c>
      <c r="B49" s="3" t="s">
        <v>164</v>
      </c>
      <c r="C49" s="3" t="s">
        <v>224</v>
      </c>
      <c r="D49" s="3" t="s">
        <v>123</v>
      </c>
      <c r="E49" s="3" t="s">
        <v>218</v>
      </c>
      <c r="F49" s="3" t="s">
        <v>225</v>
      </c>
      <c r="G49" s="3" t="s">
        <v>219</v>
      </c>
      <c r="H49" s="7" t="n">
        <v>4</v>
      </c>
    </row>
    <row r="50" customFormat="false" ht="23.25" hidden="false" customHeight="true" outlineLevel="0" collapsed="false">
      <c r="A50" s="3" t="s">
        <v>226</v>
      </c>
      <c r="B50" s="3" t="s">
        <v>164</v>
      </c>
      <c r="C50" s="3" t="s">
        <v>227</v>
      </c>
      <c r="D50" s="3" t="s">
        <v>123</v>
      </c>
      <c r="E50" s="3" t="s">
        <v>218</v>
      </c>
      <c r="F50" s="3" t="s">
        <v>228</v>
      </c>
      <c r="G50" s="3" t="s">
        <v>219</v>
      </c>
      <c r="H50" s="7" t="n">
        <v>4</v>
      </c>
    </row>
    <row r="51" customFormat="false" ht="23.25" hidden="false" customHeight="true" outlineLevel="0" collapsed="false">
      <c r="A51" s="3" t="s">
        <v>229</v>
      </c>
      <c r="B51" s="3" t="s">
        <v>164</v>
      </c>
      <c r="C51" s="3" t="s">
        <v>230</v>
      </c>
      <c r="D51" s="3" t="s">
        <v>123</v>
      </c>
      <c r="E51" s="3" t="s">
        <v>218</v>
      </c>
      <c r="F51" s="3"/>
      <c r="G51" s="3" t="s">
        <v>219</v>
      </c>
      <c r="H51" s="7" t="n">
        <v>4</v>
      </c>
    </row>
    <row r="52" customFormat="false" ht="23.25" hidden="false" customHeight="true" outlineLevel="0" collapsed="false">
      <c r="A52" s="3" t="s">
        <v>231</v>
      </c>
      <c r="B52" s="3" t="s">
        <v>164</v>
      </c>
      <c r="C52" s="3" t="s">
        <v>232</v>
      </c>
      <c r="D52" s="3" t="s">
        <v>123</v>
      </c>
      <c r="E52" s="3" t="s">
        <v>218</v>
      </c>
      <c r="F52" s="3"/>
      <c r="G52" s="3" t="s">
        <v>219</v>
      </c>
      <c r="H52" s="7" t="n">
        <v>4</v>
      </c>
    </row>
    <row r="53" customFormat="false" ht="23.25" hidden="false" customHeight="true" outlineLevel="0" collapsed="false">
      <c r="A53" s="3" t="s">
        <v>233</v>
      </c>
      <c r="B53" s="3" t="s">
        <v>164</v>
      </c>
      <c r="C53" s="3" t="s">
        <v>234</v>
      </c>
      <c r="D53" s="3" t="s">
        <v>123</v>
      </c>
      <c r="E53" s="3" t="s">
        <v>218</v>
      </c>
      <c r="F53" s="3" t="s">
        <v>87</v>
      </c>
      <c r="G53" s="3" t="s">
        <v>219</v>
      </c>
      <c r="H53" s="7" t="n">
        <v>4</v>
      </c>
    </row>
    <row r="54" customFormat="false" ht="23.25" hidden="false" customHeight="true" outlineLevel="0" collapsed="false">
      <c r="A54" s="3" t="s">
        <v>235</v>
      </c>
      <c r="B54" s="3" t="s">
        <v>164</v>
      </c>
      <c r="C54" s="3" t="s">
        <v>236</v>
      </c>
      <c r="D54" s="3" t="s">
        <v>123</v>
      </c>
      <c r="E54" s="3" t="s">
        <v>218</v>
      </c>
      <c r="F54" s="3" t="s">
        <v>237</v>
      </c>
      <c r="G54" s="3" t="s">
        <v>219</v>
      </c>
      <c r="H54" s="7" t="n">
        <v>4</v>
      </c>
    </row>
    <row r="55" customFormat="false" ht="23.25" hidden="false" customHeight="true" outlineLevel="0" collapsed="false">
      <c r="A55" s="3" t="s">
        <v>238</v>
      </c>
      <c r="B55" s="3" t="s">
        <v>164</v>
      </c>
      <c r="C55" s="3" t="s">
        <v>239</v>
      </c>
      <c r="D55" s="3" t="s">
        <v>123</v>
      </c>
      <c r="E55" s="3" t="s">
        <v>218</v>
      </c>
      <c r="F55" s="3" t="s">
        <v>87</v>
      </c>
      <c r="G55" s="3" t="s">
        <v>219</v>
      </c>
      <c r="H55" s="7" t="n">
        <v>4</v>
      </c>
    </row>
    <row r="56" customFormat="false" ht="23.25" hidden="false" customHeight="true" outlineLevel="0" collapsed="false">
      <c r="A56" s="3" t="s">
        <v>240</v>
      </c>
      <c r="B56" s="3" t="s">
        <v>164</v>
      </c>
      <c r="C56" s="3" t="s">
        <v>241</v>
      </c>
      <c r="D56" s="3" t="s">
        <v>123</v>
      </c>
      <c r="E56" s="3" t="s">
        <v>218</v>
      </c>
      <c r="F56" s="3" t="s">
        <v>242</v>
      </c>
      <c r="G56" s="3" t="s">
        <v>219</v>
      </c>
      <c r="H56" s="7" t="n">
        <v>4</v>
      </c>
    </row>
    <row r="58" customFormat="false" ht="15" hidden="false" customHeight="true" outlineLevel="0" collapsed="false">
      <c r="G58" s="8" t="s">
        <v>243</v>
      </c>
      <c r="H58" s="8" t="n">
        <f aca="false">SUM(H2:H56)</f>
        <v>395</v>
      </c>
    </row>
    <row r="59" customFormat="false" ht="15" hidden="false" customHeight="true" outlineLevel="0" collapsed="false">
      <c r="G59" s="8" t="s">
        <v>244</v>
      </c>
      <c r="H59" s="8" t="n">
        <f aca="false">SUMIF(D2:D56,"v1 slice",H2:H56)</f>
        <v>135</v>
      </c>
    </row>
    <row r="60" customFormat="false" ht="15" hidden="false" customHeight="true" outlineLevel="0" collapsed="false">
      <c r="G60" s="5" t="s">
        <v>245</v>
      </c>
      <c r="H60" s="5" t="s">
        <v>246</v>
      </c>
    </row>
    <row r="61" customFormat="false" ht="15" hidden="false" customHeight="true" outlineLevel="0" collapsed="false">
      <c r="G61" s="4" t="s">
        <v>247</v>
      </c>
      <c r="H61" s="5" t="s">
        <v>248</v>
      </c>
    </row>
  </sheetData>
  <autoFilter ref="A1:H5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7" min="6" style="1" width="12"/>
    <col collapsed="false" customWidth="true" hidden="false" outlineLevel="0" max="8" min="8" style="1" width="52"/>
  </cols>
  <sheetData>
    <row r="1" customFormat="false" ht="23.25" hidden="false" customHeight="true" outlineLevel="0" collapsed="false">
      <c r="A1" s="2" t="s">
        <v>249</v>
      </c>
      <c r="B1" s="2" t="s">
        <v>250</v>
      </c>
      <c r="C1" s="2" t="s">
        <v>251</v>
      </c>
      <c r="D1" s="2" t="s">
        <v>252</v>
      </c>
      <c r="E1" s="2" t="s">
        <v>253</v>
      </c>
      <c r="F1" s="2" t="s">
        <v>52</v>
      </c>
      <c r="G1" s="2" t="s">
        <v>254</v>
      </c>
      <c r="H1" s="2" t="s">
        <v>255</v>
      </c>
    </row>
    <row r="2" customFormat="false" ht="15" hidden="false" customHeight="true" outlineLevel="0" collapsed="false">
      <c r="A2" s="3" t="s">
        <v>256</v>
      </c>
      <c r="B2" s="3" t="s">
        <v>257</v>
      </c>
      <c r="C2" s="3" t="s">
        <v>258</v>
      </c>
      <c r="D2" s="3" t="s">
        <v>259</v>
      </c>
      <c r="E2" s="3" t="s">
        <v>260</v>
      </c>
      <c r="F2" s="3" t="s">
        <v>261</v>
      </c>
      <c r="G2" s="3" t="s">
        <v>262</v>
      </c>
      <c r="H2" s="3" t="s">
        <v>263</v>
      </c>
    </row>
    <row r="3" customFormat="false" ht="15" hidden="false" customHeight="true" outlineLevel="0" collapsed="false">
      <c r="A3" s="3" t="s">
        <v>264</v>
      </c>
      <c r="B3" s="3" t="s">
        <v>265</v>
      </c>
      <c r="C3" s="3" t="s">
        <v>266</v>
      </c>
      <c r="D3" s="3" t="s">
        <v>267</v>
      </c>
      <c r="E3" s="3" t="s">
        <v>268</v>
      </c>
      <c r="F3" s="3" t="s">
        <v>261</v>
      </c>
      <c r="G3" s="3" t="s">
        <v>262</v>
      </c>
      <c r="H3" s="3"/>
    </row>
    <row r="4" customFormat="false" ht="15" hidden="false" customHeight="true" outlineLevel="0" collapsed="false">
      <c r="A4" s="3" t="s">
        <v>269</v>
      </c>
      <c r="B4" s="3" t="s">
        <v>270</v>
      </c>
      <c r="C4" s="3" t="s">
        <v>258</v>
      </c>
      <c r="D4" s="3" t="s">
        <v>77</v>
      </c>
      <c r="E4" s="3" t="s">
        <v>271</v>
      </c>
      <c r="F4" s="3" t="s">
        <v>261</v>
      </c>
      <c r="G4" s="3" t="s">
        <v>272</v>
      </c>
      <c r="H4" s="3" t="s">
        <v>273</v>
      </c>
    </row>
    <row r="5" customFormat="false" ht="15" hidden="false" customHeight="true" outlineLevel="0" collapsed="false">
      <c r="A5" s="3" t="s">
        <v>274</v>
      </c>
      <c r="B5" s="3" t="s">
        <v>275</v>
      </c>
      <c r="C5" s="3" t="s">
        <v>276</v>
      </c>
      <c r="D5" s="3" t="s">
        <v>277</v>
      </c>
      <c r="E5" s="3" t="s">
        <v>278</v>
      </c>
      <c r="F5" s="3" t="s">
        <v>279</v>
      </c>
      <c r="G5" s="3" t="s">
        <v>272</v>
      </c>
      <c r="H5" s="3" t="s">
        <v>280</v>
      </c>
    </row>
    <row r="6" customFormat="false" ht="15" hidden="false" customHeight="true" outlineLevel="0" collapsed="false">
      <c r="A6" s="3" t="s">
        <v>281</v>
      </c>
      <c r="B6" s="3" t="s">
        <v>282</v>
      </c>
      <c r="C6" s="3" t="s">
        <v>258</v>
      </c>
      <c r="D6" s="3" t="s">
        <v>283</v>
      </c>
      <c r="E6" s="3" t="s">
        <v>284</v>
      </c>
      <c r="F6" s="3" t="s">
        <v>137</v>
      </c>
      <c r="G6" s="3" t="s">
        <v>272</v>
      </c>
      <c r="H6" s="3" t="s">
        <v>285</v>
      </c>
    </row>
    <row r="7" customFormat="false" ht="15" hidden="false" customHeight="true" outlineLevel="0" collapsed="false">
      <c r="A7" s="3" t="s">
        <v>286</v>
      </c>
      <c r="B7" s="3" t="s">
        <v>287</v>
      </c>
      <c r="C7" s="3" t="s">
        <v>258</v>
      </c>
      <c r="D7" s="3" t="s">
        <v>288</v>
      </c>
      <c r="E7" s="3" t="s">
        <v>289</v>
      </c>
      <c r="F7" s="3" t="s">
        <v>261</v>
      </c>
      <c r="G7" s="3" t="s">
        <v>272</v>
      </c>
      <c r="H7" s="3" t="s">
        <v>290</v>
      </c>
    </row>
    <row r="8" customFormat="false" ht="15" hidden="false" customHeight="true" outlineLevel="0" collapsed="false">
      <c r="A8" s="3" t="s">
        <v>291</v>
      </c>
      <c r="B8" s="3" t="s">
        <v>292</v>
      </c>
      <c r="C8" s="3" t="s">
        <v>258</v>
      </c>
      <c r="D8" s="3" t="s">
        <v>293</v>
      </c>
      <c r="E8" s="3" t="s">
        <v>294</v>
      </c>
      <c r="F8" s="3" t="s">
        <v>295</v>
      </c>
      <c r="G8" s="3" t="s">
        <v>262</v>
      </c>
      <c r="H8" s="3"/>
    </row>
    <row r="9" customFormat="false" ht="15" hidden="false" customHeight="true" outlineLevel="0" collapsed="false">
      <c r="A9" s="3" t="s">
        <v>296</v>
      </c>
      <c r="B9" s="3" t="s">
        <v>297</v>
      </c>
      <c r="C9" s="3" t="s">
        <v>258</v>
      </c>
      <c r="D9" s="3" t="s">
        <v>298</v>
      </c>
      <c r="E9" s="3" t="s">
        <v>299</v>
      </c>
      <c r="F9" s="3" t="s">
        <v>106</v>
      </c>
      <c r="G9" s="3" t="s">
        <v>262</v>
      </c>
      <c r="H9" s="3" t="s">
        <v>300</v>
      </c>
    </row>
    <row r="10" customFormat="false" ht="15" hidden="false" customHeight="true" outlineLevel="0" collapsed="false">
      <c r="A10" s="3" t="s">
        <v>301</v>
      </c>
      <c r="B10" s="3" t="s">
        <v>302</v>
      </c>
      <c r="C10" s="3" t="s">
        <v>258</v>
      </c>
      <c r="D10" s="3" t="s">
        <v>303</v>
      </c>
      <c r="E10" s="3" t="s">
        <v>304</v>
      </c>
      <c r="F10" s="3" t="s">
        <v>261</v>
      </c>
      <c r="G10" s="3" t="s">
        <v>272</v>
      </c>
      <c r="H10" s="3" t="s">
        <v>305</v>
      </c>
    </row>
    <row r="11" customFormat="false" ht="15" hidden="false" customHeight="true" outlineLevel="0" collapsed="false">
      <c r="A11" s="3" t="s">
        <v>306</v>
      </c>
      <c r="B11" s="3" t="s">
        <v>307</v>
      </c>
      <c r="C11" s="3" t="s">
        <v>258</v>
      </c>
      <c r="D11" s="3" t="s">
        <v>115</v>
      </c>
      <c r="E11" s="3" t="s">
        <v>308</v>
      </c>
      <c r="F11" s="3" t="s">
        <v>309</v>
      </c>
      <c r="G11" s="3" t="s">
        <v>272</v>
      </c>
      <c r="H11" s="3" t="s">
        <v>310</v>
      </c>
    </row>
    <row r="12" customFormat="false" ht="15" hidden="false" customHeight="true" outlineLevel="0" collapsed="false">
      <c r="A12" s="3" t="s">
        <v>311</v>
      </c>
      <c r="B12" s="3" t="s">
        <v>312</v>
      </c>
      <c r="C12" s="3" t="s">
        <v>266</v>
      </c>
      <c r="D12" s="3" t="s">
        <v>141</v>
      </c>
      <c r="E12" s="3" t="s">
        <v>313</v>
      </c>
      <c r="F12" s="3" t="s">
        <v>261</v>
      </c>
      <c r="G12" s="3" t="s">
        <v>272</v>
      </c>
      <c r="H12" s="3" t="s">
        <v>314</v>
      </c>
    </row>
    <row r="13" customFormat="false" ht="15" hidden="false" customHeight="true" outlineLevel="0" collapsed="false">
      <c r="A13" s="3" t="s">
        <v>315</v>
      </c>
      <c r="B13" s="3" t="s">
        <v>316</v>
      </c>
      <c r="C13" s="3" t="s">
        <v>317</v>
      </c>
      <c r="D13" s="3" t="s">
        <v>222</v>
      </c>
      <c r="E13" s="3" t="s">
        <v>318</v>
      </c>
      <c r="F13" s="3" t="s">
        <v>219</v>
      </c>
      <c r="G13" s="3" t="s">
        <v>262</v>
      </c>
      <c r="H13" s="3" t="s">
        <v>319</v>
      </c>
    </row>
    <row r="15" customFormat="false" ht="15" hidden="false" customHeight="true" outlineLevel="0" collapsed="false">
      <c r="F15" s="8" t="s">
        <v>320</v>
      </c>
      <c r="G15" s="8" t="n">
        <f aca="false">COUNTIF(G2:G13,"Yes")</f>
        <v>5</v>
      </c>
    </row>
    <row r="16" customFormat="false" ht="15" hidden="false" customHeight="true" outlineLevel="0" collapsed="false">
      <c r="F16" s="8" t="s">
        <v>321</v>
      </c>
      <c r="G16" s="8" t="n">
        <f aca="false">COUNTIF(G2:G13,"Partial")</f>
        <v>7</v>
      </c>
    </row>
  </sheetData>
  <autoFilter ref="A1:H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0"/>
    <col collapsed="false" customWidth="true" hidden="false" outlineLevel="0" max="3" min="3" style="1" width="60"/>
    <col collapsed="false" customWidth="true" hidden="false" outlineLevel="0" max="4" min="4" style="1" width="56"/>
  </cols>
  <sheetData>
    <row r="1" customFormat="false" ht="15" hidden="false" customHeight="true" outlineLevel="0" collapsed="false">
      <c r="A1" s="2" t="s">
        <v>322</v>
      </c>
      <c r="B1" s="2" t="s">
        <v>323</v>
      </c>
      <c r="C1" s="2" t="s">
        <v>324</v>
      </c>
      <c r="D1" s="2" t="s">
        <v>325</v>
      </c>
    </row>
    <row r="2" customFormat="false" ht="15" hidden="false" customHeight="true" outlineLevel="0" collapsed="false">
      <c r="A2" s="3" t="s">
        <v>326</v>
      </c>
      <c r="B2" s="3" t="s">
        <v>327</v>
      </c>
      <c r="C2" s="3" t="s">
        <v>328</v>
      </c>
      <c r="D2" s="3" t="s">
        <v>329</v>
      </c>
    </row>
    <row r="3" customFormat="false" ht="15" hidden="false" customHeight="true" outlineLevel="0" collapsed="false">
      <c r="A3" s="3" t="s">
        <v>330</v>
      </c>
      <c r="B3" s="3" t="s">
        <v>331</v>
      </c>
      <c r="C3" s="3" t="s">
        <v>332</v>
      </c>
      <c r="D3" s="3" t="s">
        <v>333</v>
      </c>
    </row>
    <row r="4" customFormat="false" ht="15" hidden="false" customHeight="true" outlineLevel="0" collapsed="false">
      <c r="A4" s="3" t="s">
        <v>334</v>
      </c>
      <c r="B4" s="3" t="s">
        <v>335</v>
      </c>
      <c r="C4" s="3" t="s">
        <v>336</v>
      </c>
      <c r="D4" s="3" t="s">
        <v>337</v>
      </c>
    </row>
    <row r="5" customFormat="false" ht="15" hidden="false" customHeight="true" outlineLevel="0" collapsed="false">
      <c r="A5" s="3" t="s">
        <v>338</v>
      </c>
      <c r="B5" s="3" t="s">
        <v>339</v>
      </c>
      <c r="C5" s="3" t="s">
        <v>340</v>
      </c>
      <c r="D5" s="3" t="s">
        <v>341</v>
      </c>
    </row>
    <row r="6" customFormat="false" ht="15" hidden="false" customHeight="true" outlineLevel="0" collapsed="false">
      <c r="A6" s="3" t="s">
        <v>342</v>
      </c>
      <c r="B6" s="3" t="s">
        <v>343</v>
      </c>
      <c r="C6" s="3" t="s">
        <v>344</v>
      </c>
      <c r="D6" s="3" t="s">
        <v>345</v>
      </c>
    </row>
    <row r="7" customFormat="false" ht="15" hidden="false" customHeight="true" outlineLevel="0" collapsed="false">
      <c r="A7" s="3" t="s">
        <v>346</v>
      </c>
      <c r="B7" s="3" t="s">
        <v>347</v>
      </c>
      <c r="C7" s="3" t="s">
        <v>348</v>
      </c>
      <c r="D7" s="3" t="s">
        <v>349</v>
      </c>
    </row>
    <row r="8" customFormat="false" ht="15" hidden="false" customHeight="true" outlineLevel="0" collapsed="false">
      <c r="A8" s="9"/>
      <c r="B8" s="9"/>
      <c r="C8" s="9"/>
      <c r="D8" s="9"/>
    </row>
    <row r="9" customFormat="false" ht="15" hidden="false" customHeight="true" outlineLevel="0" collapsed="false">
      <c r="A9" s="9" t="s">
        <v>350</v>
      </c>
      <c r="B9" s="9"/>
      <c r="C9" s="9" t="s">
        <v>351</v>
      </c>
      <c r="D9" s="9" t="s">
        <v>352</v>
      </c>
    </row>
    <row r="10" customFormat="false" ht="23.25" hidden="false" customHeight="true" outlineLevel="0" collapsed="false">
      <c r="A10" s="9" t="s">
        <v>353</v>
      </c>
      <c r="B10" s="9"/>
      <c r="C10" s="9" t="n">
        <v>19.18</v>
      </c>
      <c r="D10" s="9" t="s">
        <v>354</v>
      </c>
    </row>
    <row r="11" customFormat="false" ht="23.25" hidden="false" customHeight="true" outlineLevel="0" collapsed="false">
      <c r="A11" s="9" t="s">
        <v>355</v>
      </c>
      <c r="B11" s="9"/>
      <c r="C11" s="9" t="n">
        <v>4.83</v>
      </c>
      <c r="D11" s="9" t="s">
        <v>354</v>
      </c>
    </row>
    <row r="12" customFormat="false" ht="23.25" hidden="false" customHeight="true" outlineLevel="0" collapsed="false">
      <c r="A12" s="9" t="s">
        <v>356</v>
      </c>
      <c r="B12" s="9"/>
      <c r="C12" s="9" t="n">
        <v>13.44</v>
      </c>
      <c r="D12" s="9" t="s">
        <v>354</v>
      </c>
    </row>
    <row r="13" customFormat="false" ht="23.25" hidden="false" customHeight="true" outlineLevel="0" collapsed="false">
      <c r="A13" s="9" t="s">
        <v>357</v>
      </c>
      <c r="B13" s="9"/>
      <c r="C13" s="9" t="n">
        <v>1.6</v>
      </c>
      <c r="D13" s="9" t="s">
        <v>358</v>
      </c>
    </row>
    <row r="14" customFormat="false" ht="23.25" hidden="false" customHeight="true" outlineLevel="0" collapsed="false">
      <c r="A14" s="9" t="s">
        <v>359</v>
      </c>
      <c r="B14" s="9"/>
      <c r="C14" s="9" t="n">
        <v>17.27</v>
      </c>
      <c r="D14" s="9" t="s">
        <v>354</v>
      </c>
    </row>
    <row r="15" customFormat="false" ht="15" hidden="false" customHeight="true" outlineLevel="0" collapsed="false">
      <c r="A15" s="9"/>
      <c r="B15" s="9"/>
      <c r="C15" s="9"/>
      <c r="D15" s="9"/>
    </row>
    <row r="16" customFormat="false" ht="15" hidden="false" customHeight="true" outlineLevel="0" collapsed="false">
      <c r="A16" s="9" t="s">
        <v>360</v>
      </c>
      <c r="B16" s="9"/>
      <c r="C16" s="9" t="s">
        <v>361</v>
      </c>
      <c r="D16" s="9"/>
    </row>
    <row r="17" customFormat="false" ht="23.25" hidden="false" customHeight="true" outlineLevel="0" collapsed="false">
      <c r="A17" s="9" t="s">
        <v>362</v>
      </c>
      <c r="B17" s="9"/>
      <c r="C17" s="9" t="s">
        <v>363</v>
      </c>
      <c r="D17" s="9"/>
    </row>
    <row r="18" customFormat="false" ht="23.25" hidden="false" customHeight="true" outlineLevel="0" collapsed="false">
      <c r="A18" s="9" t="s">
        <v>364</v>
      </c>
      <c r="B18" s="9"/>
      <c r="C18" s="9" t="s">
        <v>365</v>
      </c>
      <c r="D18" s="9"/>
    </row>
    <row r="19" customFormat="false" ht="34.5" hidden="false" customHeight="true" outlineLevel="0" collapsed="false">
      <c r="A19" s="9" t="s">
        <v>366</v>
      </c>
      <c r="B19" s="9"/>
      <c r="C19" s="9" t="s">
        <v>367</v>
      </c>
      <c r="D19" s="9"/>
    </row>
    <row r="20" customFormat="false" ht="34.5" hidden="false" customHeight="true" outlineLevel="0" collapsed="false">
      <c r="A20" s="9" t="s">
        <v>368</v>
      </c>
      <c r="B20" s="9"/>
      <c r="C20" s="9" t="s">
        <v>369</v>
      </c>
      <c r="D20" s="9"/>
    </row>
    <row r="21" customFormat="false" ht="45.75" hidden="false" customHeight="true" outlineLevel="0" collapsed="false">
      <c r="A21" s="9" t="s">
        <v>370</v>
      </c>
      <c r="B21" s="9"/>
      <c r="C21" s="9" t="s">
        <v>371</v>
      </c>
      <c r="D21" s="9"/>
    </row>
    <row r="22" customFormat="false" ht="15" hidden="false" customHeight="true" outlineLevel="0" collapsed="false">
      <c r="A22" s="9" t="s">
        <v>372</v>
      </c>
      <c r="B22" s="9"/>
      <c r="C22" s="9" t="s">
        <v>373</v>
      </c>
      <c r="D22" s="9"/>
    </row>
    <row r="23" customFormat="false" ht="34.5" hidden="false" customHeight="true" outlineLevel="0" collapsed="false">
      <c r="A23" s="9" t="s">
        <v>374</v>
      </c>
      <c r="B23" s="9"/>
      <c r="C23" s="9" t="s">
        <v>375</v>
      </c>
      <c r="D23" s="9"/>
    </row>
    <row r="24" customFormat="false" ht="15" hidden="false" customHeight="true" outlineLevel="0" collapsed="false">
      <c r="A24" s="9" t="s">
        <v>376</v>
      </c>
      <c r="B24" s="9"/>
      <c r="C24" s="9" t="s">
        <v>377</v>
      </c>
      <c r="D24" s="9"/>
    </row>
    <row r="25" customFormat="false" ht="15" hidden="false" customHeight="true" outlineLevel="0" collapsed="false">
      <c r="A25" s="9"/>
      <c r="B25" s="9"/>
      <c r="C25" s="9"/>
      <c r="D25" s="9"/>
    </row>
    <row r="26" customFormat="false" ht="23.25" hidden="false" customHeight="true" outlineLevel="0" collapsed="false">
      <c r="A26" s="9" t="s">
        <v>378</v>
      </c>
      <c r="B26" s="9"/>
      <c r="C26" s="9" t="s">
        <v>379</v>
      </c>
      <c r="D26" s="9"/>
    </row>
    <row r="27" customFormat="false" ht="23.25" hidden="false" customHeight="true" outlineLevel="0" collapsed="false">
      <c r="A27" s="9" t="s">
        <v>378</v>
      </c>
      <c r="B27" s="9"/>
      <c r="C27" s="9" t="s">
        <v>380</v>
      </c>
      <c r="D27" s="9"/>
    </row>
    <row r="28" customFormat="false" ht="23.25" hidden="false" customHeight="true" outlineLevel="0" collapsed="false">
      <c r="A28" s="9" t="s">
        <v>381</v>
      </c>
      <c r="B28" s="9"/>
      <c r="C28" s="9" t="s">
        <v>382</v>
      </c>
      <c r="D28" s="9"/>
    </row>
  </sheetData>
  <autoFilter ref="A1:D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2026-10-20T05:27:58Z</dcterms:created>
  <dc:creator>openpyxl</dc:creator>
  <dc:description/>
  <dc:language>en-US</dc:language>
  <cp:lastModifiedBy/>
  <dcterms:modified xsi:type="dcterms:W3CDTF">2026-10-20T11:54:43Z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