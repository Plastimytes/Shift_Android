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 Registry" sheetId="2" state="visible" r:id="rId4"/>
    <sheet name="Safety-Critical Register" sheetId="3" state="visible" r:id="rId5"/>
    <sheet name="Misconceptions" sheetId="4" state="visible" r:id="rId6"/>
    <sheet name="Conflicts &amp; Gaps" sheetId="5" state="visible" r:id="rId7"/>
    <sheet name="Research Log" sheetId="6" state="visible" r:id="rId8"/>
  </sheets>
  <definedNames>
    <definedName function="false" hidden="true" localSheetId="4" name="_xlnm._FilterDatabase" vbProcedure="false">'Conflicts &amp; Gaps'!$A$1:$D$20</definedName>
    <definedName function="false" hidden="true" localSheetId="3" name="_xlnm._FilterDatabase" vbProcedure="false">Misconceptions!$A$1:$D$12</definedName>
    <definedName function="false" hidden="true" localSheetId="5" name="_xlnm._FilterDatabase" vbProcedure="false">'Research Log'!$A$1:$D$44</definedName>
    <definedName function="false" hidden="true" localSheetId="2" name="_xlnm._FilterDatabase" vbProcedure="false">'Safety-Critical Register'!$A$1:$F$15</definedName>
    <definedName function="false" hidden="true" localSheetId="1" name="_xlnm._FilterDatabase" vbProcedure="false">'Source Registry'!$A$1:$L$50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<sst xmlns="http://schemas.openxmlformats.org/spreadsheetml/2006/main" count="966" uniqueCount="653">
  <si>
    <t xml:space="preserve">SHIFT: Source Registry and Research Workbook</t>
  </si>
  <si>
    <t xml:space="preserve">Built from research rounds run on 2026-10-19. 43 searches (Rounds 1-4), listed on the Research Log sheet.</t>
  </si>
  <si>
    <t xml:space="preserve">This is a first-pass registry, not a complete survey. Excerpts were read, not always the full documents.</t>
  </si>
  <si>
    <t xml:space="preserve">Tier A = official regulation, standard or authority. B = peer-reviewed, university or professional training. C = reputable trade/vendor. D = directory or community; discovery only.</t>
  </si>
  <si>
    <t xml:space="preserve">Any source marked 'link out only' or 'paywalled' must not be reproduced in the app.</t>
  </si>
  <si>
    <t xml:space="preserve">Tier</t>
  </si>
  <si>
    <t xml:space="preserve">Sources</t>
  </si>
  <si>
    <t xml:space="preserve">A</t>
  </si>
  <si>
    <t xml:space="preserve">B</t>
  </si>
  <si>
    <t xml:space="preserve">C</t>
  </si>
  <si>
    <t xml:space="preserve">D</t>
  </si>
  <si>
    <t xml:space="preserve">Total</t>
  </si>
  <si>
    <t xml:space="preserve">Low-confidence sources</t>
  </si>
  <si>
    <t xml:space="preserve">Open conflicts/uncertainties</t>
  </si>
  <si>
    <t xml:space="preserve">Known research gaps</t>
  </si>
  <si>
    <t xml:space="preserve">ID</t>
  </si>
  <si>
    <t xml:space="preserve">Title</t>
  </si>
  <si>
    <t xml:space="preserve">Issuer / author</t>
  </si>
  <si>
    <t xml:space="preserve">URL</t>
  </si>
  <si>
    <t xml:space="preserve">Subject area</t>
  </si>
  <si>
    <t xml:space="preserve">Claims it supports (paraphrased)</t>
  </si>
  <si>
    <t xml:space="preserve">Applies to / limits</t>
  </si>
  <si>
    <t xml:space="preserve">Reuse position</t>
  </si>
  <si>
    <t xml:space="preserve">Confidence</t>
  </si>
  <si>
    <t xml:space="preserve">Open issues</t>
  </si>
  <si>
    <t xml:space="preserve">Accessed</t>
  </si>
  <si>
    <t xml:space="preserve">S01</t>
  </si>
  <si>
    <t xml:space="preserve">ASE Automobile Study Guide 2025</t>
  </si>
  <si>
    <t xml:space="preserve">National Institute for Automotive Service Excellence (ASE)</t>
  </si>
  <si>
    <t xml:space="preserve">https://www.ase.com/uploads/ASE_Automobile_Study_Guide_2025_250109_210800.pdf</t>
  </si>
  <si>
    <t xml:space="preserve">Repair curriculum structure</t>
  </si>
  <si>
    <t xml:space="preserve">Automobile series is tests A1-A9 (engine repair through engine performance); task lists written by working professionals</t>
  </si>
  <si>
    <t xml:space="preserve">US certification framework; task lists not a global standard</t>
  </si>
  <si>
    <t xml:space="preserve">Use as structural reference only; do not copy text (ASE copyright)</t>
  </si>
  <si>
    <t xml:space="preserve">High</t>
  </si>
  <si>
    <t xml:space="preserve">Task lists being revised; updated tests begin Jan 2026 (see S03)</t>
  </si>
  <si>
    <t xml:space="preserve">2026-10-19</t>
  </si>
  <si>
    <t xml:space="preserve">S02</t>
  </si>
  <si>
    <t xml:space="preserve">ASE MAST test specifications and task lists (2022 standard)</t>
  </si>
  <si>
    <t xml:space="preserve">ASE Education Foundation</t>
  </si>
  <si>
    <t xml:space="preserve">https://www.aseeducationfoundation.org/wp-content/uploads/Auto_Test_Specs_Individual-8_2022.pdf</t>
  </si>
  <si>
    <t xml:space="preserve">Task lists derive from the 2022 Instructional Standard for program accreditation; keyed to component-level tasks</t>
  </si>
  <si>
    <t xml:space="preserve">US school accreditation context</t>
  </si>
  <si>
    <t xml:space="preserve">Structural reference only</t>
  </si>
  <si>
    <t xml:space="preserve">Confirm current standard year before citing</t>
  </si>
  <si>
    <t xml:space="preserve">S03</t>
  </si>
  <si>
    <t xml:space="preserve">ASE A-series task list surveys</t>
  </si>
  <si>
    <t xml:space="preserve">ASE (press release) and trade coverage</t>
  </si>
  <si>
    <t xml:space="preserve">https://ase.com/news/ase-a-series-task-list-surveys-help-drive-changes-to-future/</t>
  </si>
  <si>
    <t xml:space="preserve">Curriculum currency</t>
  </si>
  <si>
    <t xml:space="preserve">Surveys on task frequency will drive updates to A1 and A2 tests; updated tests start January 2026 (date from trade press)</t>
  </si>
  <si>
    <t xml:space="preserve">US</t>
  </si>
  <si>
    <t xml:space="preserve">Cite, do not copy</t>
  </si>
  <si>
    <t xml:space="preserve">Medium</t>
  </si>
  <si>
    <t xml:space="preserve">Start date comes from secondary trade outlet; verify on ase.com</t>
  </si>
  <si>
    <t xml:space="preserve">S04</t>
  </si>
  <si>
    <t xml:space="preserve">World Forum for Harmonization of Vehicle Regulations (WP.29) overview</t>
  </si>
  <si>
    <t xml:space="preserve">globalautoregs.com (secondary); primary is UNECE</t>
  </si>
  <si>
    <t xml:space="preserve">https://globalautoregs.com/world_forum</t>
  </si>
  <si>
    <t xml:space="preserve">Regulation / homologation</t>
  </si>
  <si>
    <t xml:space="preserve">WP.29 oversees 1958, 1998 and 1997 agreements; most countries mirror or recognise UN Regulations</t>
  </si>
  <si>
    <t xml:space="preserve">Global framework; national law governs actual compliance</t>
  </si>
  <si>
    <t xml:space="preserve">Cite only</t>
  </si>
  <si>
    <t xml:space="preserve">Fetch primary UNECE pages; Wikipedia copy seen is Tier D only</t>
  </si>
  <si>
    <t xml:space="preserve">S05</t>
  </si>
  <si>
    <t xml:space="preserve">UN R155 cybersecurity and R156 software updates</t>
  </si>
  <si>
    <t xml:space="preserve">UK Vehicle Certification Agency</t>
  </si>
  <si>
    <t xml:space="preserve">https://www.vehicle-certification-agency.gov.uk/connected-and-automated-vehicles/cyber-security-and-software-updating/</t>
  </si>
  <si>
    <t xml:space="preserve">Cybersecurity / OTA</t>
  </si>
  <si>
    <t xml:space="preserve">R155 covers cybersecurity management, R156 software update management; only vehicle manufacturers obtain R155 approval</t>
  </si>
  <si>
    <t xml:space="preserve">UN regulation as applied by UK authority; page last updated May 2024</t>
  </si>
  <si>
    <t xml:space="preserve">Cite and link</t>
  </si>
  <si>
    <t xml:space="preserve">Check for amendments (SWIN proposals seen in WP.29 documents)</t>
  </si>
  <si>
    <t xml:space="preserve">S06</t>
  </si>
  <si>
    <t xml:space="preserve">Federal Motor Vehicle Safety Standards (FMVSS), 49 CFR Part 571</t>
  </si>
  <si>
    <t xml:space="preserve">NHTSA / US government</t>
  </si>
  <si>
    <t xml:space="preserve">https://www.nhtsa.gov/laws-regulations/fmvss?page=6</t>
  </si>
  <si>
    <t xml:space="preserve">US vehicle safety regulation</t>
  </si>
  <si>
    <t xml:space="preserve">FMVSS are minimum performance standards; includes FMVSS 116 (brake fluids) and 135 (light-vehicle brakes); Part 565 covers VIN</t>
  </si>
  <si>
    <t xml:space="preserve">US only</t>
  </si>
  <si>
    <t xml:space="preserve">Public-domain US government text; cite section numbers</t>
  </si>
  <si>
    <t xml:space="preserve">'89 sections, updated Oct 1 2025' came from federal-regs.com mirror (Tier C): verify on eCFR</t>
  </si>
  <si>
    <t xml:space="preserve">S07</t>
  </si>
  <si>
    <t xml:space="preserve">MIT OCW 2.61 Internal Combustion Engines (Spring 2017)</t>
  </si>
  <si>
    <t xml:space="preserve">MIT OpenCourseWare (Wai Cheng)</t>
  </si>
  <si>
    <t xml:space="preserve">https://ocw.mit.edu/courses/2-61-internal-combustion-engines-spring-2017/resources/2-61s17</t>
  </si>
  <si>
    <t xml:space="preserve">Engine thermodynamics (Top Formula prerequisites)</t>
  </si>
  <si>
    <t xml:space="preserve">Graduate course; prerequisite 2.006; textbook is Heywood's Internal Combustion Engine Fundamentals</t>
  </si>
  <si>
    <t xml:space="preserve">Graduate level; US university</t>
  </si>
  <si>
    <t xml:space="preserve">CC BY-NC-SA: link and cite; do NOT adapt if SHIFT is monetised</t>
  </si>
  <si>
    <t xml:space="preserve">Licence NonCommercial term needs legal decision</t>
  </si>
  <si>
    <t xml:space="preserve">S08</t>
  </si>
  <si>
    <t xml:space="preserve">MIT 2.61 lecture 20: super and turbo-charging</t>
  </si>
  <si>
    <t xml:space="preserve">MIT OpenCourseWare</t>
  </si>
  <si>
    <t xml:space="preserve">https://www.ocw.mit.edu/courses/2-61-internal-combustion-engines-spring-2017/6b7b9273297b0993ffad47a4f463b641_MIT2_61S17_lec20.pdf</t>
  </si>
  <si>
    <t xml:space="preserve">Forced induction</t>
  </si>
  <si>
    <t xml:space="preserve">Fuel burned per cycle is air-limited; turbocharger vs supercharger; compressor/turbine/engine matching; wastegate and intercooler roles</t>
  </si>
  <si>
    <t xml:space="preserve">Theory; not a tuning guide</t>
  </si>
  <si>
    <t xml:space="preserve">CC BY-NC-SA</t>
  </si>
  <si>
    <t xml:space="preserve">Same licence issue as S07</t>
  </si>
  <si>
    <t xml:space="preserve">S09</t>
  </si>
  <si>
    <t xml:space="preserve">SAE J1979 E/E Diagnostic Test Modes</t>
  </si>
  <si>
    <t xml:space="preserve">SAE International</t>
  </si>
  <si>
    <t xml:space="preserve">https://saemobilus.sae.org/content/J1979_201202</t>
  </si>
  <si>
    <t xml:space="preserve">OBD-II diagnostics</t>
  </si>
  <si>
    <t xml:space="preserve">Defines emissions-related diagnostic services (modes) used by generic scan tools; originally for US 1996+ OBD</t>
  </si>
  <si>
    <t xml:space="preserve">Emissions-related OBD only; paywalled</t>
  </si>
  <si>
    <t xml:space="preserve">Teach public structure only; do not reproduce SAE tables</t>
  </si>
  <si>
    <t xml:space="preserve">Latest edition listed elsewhere as J1979_202505; not read in full</t>
  </si>
  <si>
    <t xml:space="preserve">S10</t>
  </si>
  <si>
    <t xml:space="preserve">SAE J3016 Levels of Driving Automation</t>
  </si>
  <si>
    <t xml:space="preserve">SAE International (with ISO)</t>
  </si>
  <si>
    <t xml:space="preserve">https://sae.org/news/2021/06/sae-revises-levels-of-driving-automation</t>
  </si>
  <si>
    <t xml:space="preserve">ADAS / automation</t>
  </si>
  <si>
    <t xml:space="preserve">Six levels (0-5) classify features by who performs the driving task; 2021 revision separated Level 3 and 4 more clearly</t>
  </si>
  <si>
    <t xml:space="preserve">Taxonomy only; says nothing about quality or legality</t>
  </si>
  <si>
    <t xml:space="preserve">Cite; SAE trademarked the levels</t>
  </si>
  <si>
    <t xml:space="preserve">SAE states the standard can be downloaded free; confirm before linking</t>
  </si>
  <si>
    <t xml:space="preserve">S11</t>
  </si>
  <si>
    <t xml:space="preserve">ISO 11898 CAN and ISO 14229 UDS</t>
  </si>
  <si>
    <t xml:space="preserve">ISO via ANSI webstore</t>
  </si>
  <si>
    <t xml:space="preserve">https://webstore.ansi.org/transportation/controller-area-network.aspx</t>
  </si>
  <si>
    <t xml:space="preserve">Vehicle networks / diagnostics</t>
  </si>
  <si>
    <t xml:space="preserve">ISO 11898 defines CAN data link and physical layers; UDS on CAN defined in ISO 14229-3</t>
  </si>
  <si>
    <t xml:space="preserve">Paywalled standards; listing only</t>
  </si>
  <si>
    <t xml:space="preserve">Cite; teach concepts in own words</t>
  </si>
  <si>
    <t xml:space="preserve">Standards not read in full; ISO 26262 not yet sourced</t>
  </si>
  <si>
    <t xml:space="preserve">S12</t>
  </si>
  <si>
    <t xml:space="preserve">EPA Enforcement Policy on Vehicle and Engine Tampering and Aftermarket Defeat Devices</t>
  </si>
  <si>
    <t xml:space="preserve">US EPA</t>
  </si>
  <si>
    <t xml:space="preserve">https://www.epa.gov/sites/production/files/2020-12/documents/epatamperingpolicy-enforcementpolicyonvehicleandenginetampering.pdf</t>
  </si>
  <si>
    <t xml:space="preserve">Emissions law / modification</t>
  </si>
  <si>
    <t xml:space="preserve">Tampering prohibitions apply for the life of the vehicle; software changes can count; competition-only conversions not addressed; federal Clean Air Act only</t>
  </si>
  <si>
    <t xml:space="preserve">US federal; state rules (e.g. California) separate</t>
  </si>
  <si>
    <t xml:space="preserve">US government text; cite</t>
  </si>
  <si>
    <t xml:space="preserve">Policy has been revised since 2020: confirm latest version</t>
  </si>
  <si>
    <t xml:space="preserve">S13</t>
  </si>
  <si>
    <t xml:space="preserve">How Do All-Electric Cars Work?</t>
  </si>
  <si>
    <t xml:space="preserve">US DOE Alternative Fuels Data Center</t>
  </si>
  <si>
    <t xml:space="preserve">https://afdc.energy.gov/vehicles/how-do-all-electric-cars-work</t>
  </si>
  <si>
    <t xml:space="preserve">BEV architecture</t>
  </si>
  <si>
    <t xml:space="preserve">Lists key components: auxiliary battery, traction motor, onboard charger, power electronics controller, thermal system, traction battery pack, electric transmission</t>
  </si>
  <si>
    <t xml:space="preserve">Generic BEV description</t>
  </si>
  <si>
    <t xml:space="preserve">US government; cite and link</t>
  </si>
  <si>
    <t xml:space="preserve">None</t>
  </si>
  <si>
    <t xml:space="preserve">S14</t>
  </si>
  <si>
    <t xml:space="preserve">How Do Fuel Cell Electric Cars Work?</t>
  </si>
  <si>
    <t xml:space="preserve">US DOE AFDC</t>
  </si>
  <si>
    <t xml:space="preserve">https://afdc.energy.gov/vehicles/how-do-fuel-cell-electric-cars-work</t>
  </si>
  <si>
    <t xml:space="preserve">Hydrogen FCEV</t>
  </si>
  <si>
    <t xml:space="preserve">FCEV uses PEM fuel cell stack, hydrogen tank, auxiliary battery, traction motor, thermal system</t>
  </si>
  <si>
    <t xml:space="preserve">Generic</t>
  </si>
  <si>
    <t xml:space="preserve">US government; cite</t>
  </si>
  <si>
    <t xml:space="preserve">Hydrogen tank safety standards not yet sourced</t>
  </si>
  <si>
    <t xml:space="preserve">S15</t>
  </si>
  <si>
    <t xml:space="preserve">FIA 2026 Formula 1 Power Unit Technical Regulations (Issue 4)</t>
  </si>
  <si>
    <t xml:space="preserve">FIA</t>
  </si>
  <si>
    <t xml:space="preserve">https://FIA.com/sites/default/files/fia_2026_formula_1_technical_regulations_pu_-_issue_4_-_2023-10-25.pdf</t>
  </si>
  <si>
    <t xml:space="preserve">Top Formula / motorsport rules</t>
  </si>
  <si>
    <t xml:space="preserve">Defines 2026 power unit rules; FIA release says more electrical power and fully sustainable fuel</t>
  </si>
  <si>
    <t xml:space="preserve">Issue 4 dated Oct 2023 is superseded by later issues</t>
  </si>
  <si>
    <t xml:space="preserve">Cite; do not reproduce regulation text</t>
  </si>
  <si>
    <t xml:space="preserve">A mirror lists Section C Issue 16 (Feb 2026): fetch from fia.com; kW split came from trade press only</t>
  </si>
  <si>
    <t xml:space="preserve">S16</t>
  </si>
  <si>
    <t xml:space="preserve">Turbo Tech 103: compressor maps</t>
  </si>
  <si>
    <t xml:space="preserve">Garrett Motion</t>
  </si>
  <si>
    <t xml:space="preserve">https://www.garrettmotion.com/wp-content/uploads/2019/10/GAM_Turbo-Tech-103_Expert-1.pdf</t>
  </si>
  <si>
    <t xml:space="preserve">Turbocharging (Performance mode)</t>
  </si>
  <si>
    <t xml:space="preserve">Defines pressure ratio, surge line and choke line on a compressor map</t>
  </si>
  <si>
    <t xml:space="preserve">Manufacturer with commercial interest</t>
  </si>
  <si>
    <t xml:space="preserve">Cross-check pressure-ratio formula against MIT notes</t>
  </si>
  <si>
    <t xml:space="preserve">S17</t>
  </si>
  <si>
    <t xml:space="preserve">Directive 2014/45/EU on periodic roadworthiness tests</t>
  </si>
  <si>
    <t xml:space="preserve">European Parliament and Council (UK-hosted legislation.gov.uk copy)</t>
  </si>
  <si>
    <t xml:space="preserve">https://www.legislation.gov.uk/eudr/2014/45/article/5?view=plain</t>
  </si>
  <si>
    <t xml:space="preserve">Roadworthiness (EU)</t>
  </si>
  <si>
    <t xml:space="preserve">Sets minimum test intervals (M1/N1: 4 years then every 2) and three deficiency severities</t>
  </si>
  <si>
    <t xml:space="preserve">EU member states; UK copy may be amended post-2020</t>
  </si>
  <si>
    <t xml:space="preserve">Public legal text; cite</t>
  </si>
  <si>
    <t xml:space="preserve">Verify against EUR-Lex; national rules add detail</t>
  </si>
  <si>
    <t xml:space="preserve">S18</t>
  </si>
  <si>
    <t xml:space="preserve">Toyota/Lexus Technical Information System (TIS) subscription terms</t>
  </si>
  <si>
    <t xml:space="preserve">Toyota via Snap-on</t>
  </si>
  <si>
    <t xml:space="preserve">https://techinfo.snapon.com/TIS/Register.aspx</t>
  </si>
  <si>
    <t xml:space="preserve">Manufacturer service information</t>
  </si>
  <si>
    <t xml:space="preserve">Repair manuals, bulletins and wiring diagrams are subscription products covering North American models</t>
  </si>
  <si>
    <t xml:space="preserve">North America; paid; subject to terms of use</t>
  </si>
  <si>
    <t xml:space="preserve">Link out only; never redistribute</t>
  </si>
  <si>
    <t xml:space="preserve">Read full Terms of Use before any citation beyond the link</t>
  </si>
  <si>
    <t xml:space="preserve">S19</t>
  </si>
  <si>
    <t xml:space="preserve">Bosch Automotive Handbook, 11th edition</t>
  </si>
  <si>
    <t xml:space="preserve">Robert Bosch GmbH / Wiley</t>
  </si>
  <si>
    <t xml:space="preserve">https://bookshop.org/p/books/automotive-handbook/2febbd4fc8bba60d</t>
  </si>
  <si>
    <t xml:space="preserve">General reference</t>
  </si>
  <si>
    <t xml:space="preserve">Over 2,000 pages covering electrification, driver assistance and autonomous vehicles</t>
  </si>
  <si>
    <t xml:space="preserve">Commercial book</t>
  </si>
  <si>
    <t xml:space="preserve">Cite as further reading only; no reproduction</t>
  </si>
  <si>
    <t xml:space="preserve">Retail listing only; not read</t>
  </si>
  <si>
    <t xml:space="preserve">S20</t>
  </si>
  <si>
    <t xml:space="preserve">Review of failure modes and safety strategies of lithium-ion batteries</t>
  </si>
  <si>
    <t xml:space="preserve">Peer-reviewed open-access review (PMC)</t>
  </si>
  <si>
    <t xml:space="preserve">https://pmc.ncbi.nlm.nih.gov/articles/PMC13336748/</t>
  </si>
  <si>
    <t xml:space="preserve">Battery safety</t>
  </si>
  <si>
    <t xml:space="preserve">Flammable electrolytes and oxygen-releasing cathodes make cells prone to thermal runaway; incidents attributed to defects, poor thermal dissipation, mechanical damage</t>
  </si>
  <si>
    <t xml:space="preserve">Review, not procedure</t>
  </si>
  <si>
    <t xml:space="preserve">Open access; check licence per article</t>
  </si>
  <si>
    <t xml:space="preserve">Journal and exact licence not confirmed from excerpt</t>
  </si>
  <si>
    <t xml:space="preserve">S21</t>
  </si>
  <si>
    <t xml:space="preserve">Safety Precautions for Hybrid/Electric Vehicles</t>
  </si>
  <si>
    <t xml:space="preserve">Hella Gutmann (tool maker)</t>
  </si>
  <si>
    <t xml:space="preserve">https://www.hella-gutmann.com/fileadmin/Manuals/html/mt-hv/en-US/257340171.html</t>
  </si>
  <si>
    <t xml:space="preserve">High-voltage safety</t>
  </si>
  <si>
    <t xml:space="preserve">Only qualified staff may de-energize; follow manufacturer instructions; verify absence of voltage; residual voltage possible</t>
  </si>
  <si>
    <t xml:space="preserve">Manufacturer guidance for its own tools</t>
  </si>
  <si>
    <t xml:space="preserve">Cite for principle only</t>
  </si>
  <si>
    <t xml:space="preserve">Find OEM/standards-body source (e.g. NFPA, SAE J2990 family)</t>
  </si>
  <si>
    <t xml:space="preserve">S22</t>
  </si>
  <si>
    <t xml:space="preserve">Importance of de-energizing EV and hybrid vehicles</t>
  </si>
  <si>
    <t xml:space="preserve">ALLDATA</t>
  </si>
  <si>
    <t xml:space="preserve">https://www.alldata.com/ca/en/the-importance-of-de-energizing-ev-and-hybrid-vehicles</t>
  </si>
  <si>
    <t xml:space="preserve">Welding, sanding or cutting near HV parts requires de-energizing by a high-voltage-trained technician</t>
  </si>
  <si>
    <t xml:space="preserve">Example from one OEM procedure set</t>
  </si>
  <si>
    <t xml:space="preserve">Commercial service-info vendor</t>
  </si>
  <si>
    <t xml:space="preserve">S23</t>
  </si>
  <si>
    <t xml:space="preserve">Oil classification systems</t>
  </si>
  <si>
    <t xml:space="preserve">Petro-Canada Lubricants (Lube Source handbook)</t>
  </si>
  <si>
    <t xml:space="preserve">https://petrocanadalubricants.com/en-cu/lube-source-handbook/automotive/introduction/oil-classification-systems</t>
  </si>
  <si>
    <t xml:space="preserve">Lubrication</t>
  </si>
  <si>
    <t xml:space="preserve">SAE J300 classifies viscosity only; API service categories are a separate system</t>
  </si>
  <si>
    <t xml:space="preserve">Lubricant maker</t>
  </si>
  <si>
    <t xml:space="preserve">Cite; paraphrase</t>
  </si>
  <si>
    <t xml:space="preserve">SAE J300 itself not read (paywalled)</t>
  </si>
  <si>
    <t xml:space="preserve">S24</t>
  </si>
  <si>
    <t xml:space="preserve">Brake fluid sources (FMVSS 116 plus trade explainers)</t>
  </si>
  <si>
    <t xml:space="preserve">NHTSA (S06) and trade sources</t>
  </si>
  <si>
    <t xml:space="preserve">https://rymax-lubricants.com/updates/what-is-brake-fluid</t>
  </si>
  <si>
    <t xml:space="preserve">Brakes</t>
  </si>
  <si>
    <t xml:space="preserve">DOT 3/4/5.1 are glycol-based and hygroscopic; DOT 5 is silicone; DOT 5 not for ABS</t>
  </si>
  <si>
    <t xml:space="preserve">Trade explainer</t>
  </si>
  <si>
    <t xml:space="preserve">Cite principle; numbers must come from FMVSS 116 text</t>
  </si>
  <si>
    <t xml:space="preserve">Low</t>
  </si>
  <si>
    <t xml:space="preserve">Boiling-point tables conflict across sources: see Conflicts &amp; Gaps</t>
  </si>
  <si>
    <t xml:space="preserve">S25</t>
  </si>
  <si>
    <t xml:space="preserve">Deciphering a tire sidewall</t>
  </si>
  <si>
    <t xml:space="preserve">Tomorrow's Technician (trade)</t>
  </si>
  <si>
    <t xml:space="preserve">https://www.tomorrowstechnician.com/deciphering-tire-sidewall/</t>
  </si>
  <si>
    <t xml:space="preserve">Tires</t>
  </si>
  <si>
    <t xml:space="preserve">Load index and speed rating appear in the service description; max load and max inflation branded on sidewall</t>
  </si>
  <si>
    <t xml:space="preserve">US tires</t>
  </si>
  <si>
    <t xml:space="preserve">Check FMVSS 109/139 and ETRTO for primary text</t>
  </si>
  <si>
    <t xml:space="preserve">S26</t>
  </si>
  <si>
    <t xml:space="preserve">Race car vehicle dynamics and design applied to Formula Student</t>
  </si>
  <si>
    <t xml:space="preserve">E.J. Goodman, Aston University (MPhil)</t>
  </si>
  <si>
    <t xml:space="preserve">https://publications.aston.ac.uk/id/eprint/21810</t>
  </si>
  <si>
    <t xml:space="preserve">Vehicle dynamics</t>
  </si>
  <si>
    <t xml:space="preserve">Covers tyre friction, understeer gradient, weight transfer and suspension kinematics</t>
  </si>
  <si>
    <t xml:space="preserve">Student thesis, not peer-reviewed journal</t>
  </si>
  <si>
    <t xml:space="preserve">Cite; do not copy</t>
  </si>
  <si>
    <t xml:space="preserve">Add Milliken text and a peer-reviewed tyre source</t>
  </si>
  <si>
    <t xml:space="preserve">S27</t>
  </si>
  <si>
    <t xml:space="preserve">NASCAR Next Gen specification (trade and encyclopedia coverage)</t>
  </si>
  <si>
    <t xml:space="preserve">Speedsport, Motor Authority, Wikipedia</t>
  </si>
  <si>
    <t xml:space="preserve">https://www.speedsport.com/nascar/nascar-cup-series/the-nuts-bolts-of-nascar-next-gen/</t>
  </si>
  <si>
    <t xml:space="preserve">Motorsport (American)</t>
  </si>
  <si>
    <t xml:space="preserve">358 cu in naturally aspirated V8, 5-speed sequential, composite body</t>
  </si>
  <si>
    <t xml:space="preserve">Specs change; official rulebook not obtained</t>
  </si>
  <si>
    <t xml:space="preserve">Cite with caution</t>
  </si>
  <si>
    <t xml:space="preserve">Superspeedway power figure conflicts (510 vs 550 hp): see Conflicts</t>
  </si>
  <si>
    <t xml:space="preserve">S28</t>
  </si>
  <si>
    <t xml:space="preserve">WRC Rally1 regulation coverage</t>
  </si>
  <si>
    <t xml:space="preserve">Motorsport.com, DirtFish, Autocar</t>
  </si>
  <si>
    <t xml:space="preserve">https://www.motorsport.com/wrc/news/wrc-to-abandon-hybrid-powered-rally1-cars-from-2025/10580831/</t>
  </si>
  <si>
    <t xml:space="preserve">Motorsport (rally)</t>
  </si>
  <si>
    <t xml:space="preserve">FIA announced hybrid removal then reversed: Rally1 rules stay unchanged through 2026</t>
  </si>
  <si>
    <t xml:space="preserve">Fast-moving rules</t>
  </si>
  <si>
    <t xml:space="preserve">Cite with date</t>
  </si>
  <si>
    <t xml:space="preserve">Pull 2027 regulations from fia.com when available</t>
  </si>
  <si>
    <t xml:space="preserve">S29</t>
  </si>
  <si>
    <t xml:space="preserve">What Is a JDM Car?</t>
  </si>
  <si>
    <t xml:space="preserve">Capital One Cars / JDMBuySell</t>
  </si>
  <si>
    <t xml:space="preserve">https://www.capitalone.com/cars/learn/finding-the-right-car/what-is-a-jdm-car/3496</t>
  </si>
  <si>
    <t xml:space="preserve">Automotive culture</t>
  </si>
  <si>
    <t xml:space="preserve">Strictly JDM means sold new in Japan; use for any Japan-built export is loose; kei is a Japan-only regulatory class</t>
  </si>
  <si>
    <t xml:space="preserve">Colloquial usage varies</t>
  </si>
  <si>
    <t xml:space="preserve">Cite definition</t>
  </si>
  <si>
    <t xml:space="preserve">Kei limits need Japanese government source</t>
  </si>
  <si>
    <t xml:space="preserve">S30</t>
  </si>
  <si>
    <t xml:space="preserve">Diesel aftertreatment training notes</t>
  </si>
  <si>
    <t xml:space="preserve">University of Malta (staff notes)</t>
  </si>
  <si>
    <t xml:space="preserve">https://staff.um.edu.mt/mario.a.farrugia/MotorsIncTrainingAftertreatment1.pdf</t>
  </si>
  <si>
    <t xml:space="preserve">Emissions systems</t>
  </si>
  <si>
    <t xml:space="preserve">DPF regeneration uses pressure-difference sensing; EGR lowers NOx; Euro 6 NOx limits require SCR with AdBlue</t>
  </si>
  <si>
    <t xml:space="preserve">University notes</t>
  </si>
  <si>
    <t xml:space="preserve">Need EU/EPA primary limits; egusphere item seen is a preprint</t>
  </si>
  <si>
    <t xml:space="preserve">S31</t>
  </si>
  <si>
    <t xml:space="preserve">Jack stands 101 and shop safety coverage</t>
  </si>
  <si>
    <t xml:space="preserve">Fleet Maintenance; Tire Review; NIOSH/CDC</t>
  </si>
  <si>
    <t xml:space="preserve">https://www.fleetmaintenance.com/in-the-bay/shop-equipment/article/55363166/how-to-safely-use-jack-stands</t>
  </si>
  <si>
    <t xml:space="preserve">Workshop safety</t>
  </si>
  <si>
    <t xml:space="preserve">Use rated jack stands and manufacturer jacking points; never compressed air on brake dust; lifts follow ANSI/ALI standards</t>
  </si>
  <si>
    <t xml:space="preserve">US shop context</t>
  </si>
  <si>
    <t xml:space="preserve">Cite principle</t>
  </si>
  <si>
    <t xml:space="preserve">Primary: OSHA 1910.1001 and ANSI/ALI texts not yet fetched; CDC brake-dust study is dated</t>
  </si>
  <si>
    <t xml:space="preserve">S32</t>
  </si>
  <si>
    <t xml:space="preserve">Gasoline knock resistance and octane (DOE lab paper)</t>
  </si>
  <si>
    <t xml:space="preserve">US DOE OSTI</t>
  </si>
  <si>
    <t xml:space="preserve">https://www.osti.gov/pages/servlets/purl/1969816</t>
  </si>
  <si>
    <t xml:space="preserve">Fuels</t>
  </si>
  <si>
    <t xml:space="preserve">RON and MON measured on a variable-compression CFR engine; AKI is the US pump metric</t>
  </si>
  <si>
    <t xml:space="preserve">Research paper</t>
  </si>
  <si>
    <t xml:space="preserve">US pump AKI vs elsewhere RON conversion is approximate</t>
  </si>
  <si>
    <t xml:space="preserve">S33</t>
  </si>
  <si>
    <t xml:space="preserve">Charging connector overview</t>
  </si>
  <si>
    <t xml:space="preserve">US Joint Office of Energy and Transportation</t>
  </si>
  <si>
    <t xml:space="preserve">https://driveelectric.gov/charging-connector</t>
  </si>
  <si>
    <t xml:space="preserve">EV charging standards</t>
  </si>
  <si>
    <t xml:space="preserve">SAE published J3400 TIR in Dec 2023; task force voted Aug 2024 to make it a Recommended Practice; CCS1 is J1772 plus two DC pins</t>
  </si>
  <si>
    <t xml:space="preserve">North America focus</t>
  </si>
  <si>
    <t xml:space="preserve">Regional standards (CCS2, GB/T, CHAdeMO) only from secondary sources</t>
  </si>
  <si>
    <t xml:space="preserve">S34</t>
  </si>
  <si>
    <t xml:space="preserve">Vehicle E/E architecture and technologies enabling the software-defined vehicle</t>
  </si>
  <si>
    <t xml:space="preserve">SAE Technical Paper 2024-01-2035</t>
  </si>
  <si>
    <t xml:space="preserve">https://saemobilus.sae.org/downloads/papers/2024-01-2035/Full%20Text%20PDF</t>
  </si>
  <si>
    <t xml:space="preserve">Software-defined vehicles</t>
  </si>
  <si>
    <t xml:space="preserve">Defines SDV; zone architecture with central compute, HPC, OTA and cybersecurity</t>
  </si>
  <si>
    <t xml:space="preserve">Paywalled paper; abstract read</t>
  </si>
  <si>
    <t xml:space="preserve">Cite</t>
  </si>
  <si>
    <t xml:space="preserve">McKinsey coverage (Tier C) complements</t>
  </si>
  <si>
    <t xml:space="preserve">S35</t>
  </si>
  <si>
    <t xml:space="preserve">Advanced high-strength steel in body structures</t>
  </si>
  <si>
    <t xml:space="preserve">WorldAutoSteel / AHSS Insights</t>
  </si>
  <si>
    <t xml:space="preserve">https://ahssinsights.org/tag/steel-e-motive/</t>
  </si>
  <si>
    <t xml:space="preserve">Body and crash structures</t>
  </si>
  <si>
    <t xml:space="preserve">Crumple zones need high energy absorption; safety cage needs high yield strength</t>
  </si>
  <si>
    <t xml:space="preserve">Steel industry body: possible bias</t>
  </si>
  <si>
    <t xml:space="preserve">Cite with bias note</t>
  </si>
  <si>
    <t xml:space="preserve">Add independent aluminum/composite sources; Euro NCAP/IIHS protocols not sourced</t>
  </si>
  <si>
    <t xml:space="preserve">S36</t>
  </si>
  <si>
    <t xml:space="preserve">Open-source CAD and CFD in engineering education</t>
  </si>
  <si>
    <t xml:space="preserve">Botha and van Niekerk, North-West University (IRSPBL)</t>
  </si>
  <si>
    <t xml:space="preserve">https://journals.aau.dk/index.php/IRSPBL/article/view/11082</t>
  </si>
  <si>
    <t xml:space="preserve">Design and simulation tools</t>
  </si>
  <si>
    <t xml:space="preserve">FreeCAD with OpenFOAM matched commercial results on a ship-hull case and built competency</t>
  </si>
  <si>
    <t xml:space="preserve">One case study</t>
  </si>
  <si>
    <t xml:space="preserve">Not automotive-specific</t>
  </si>
  <si>
    <t xml:space="preserve">S37</t>
  </si>
  <si>
    <t xml:space="preserve">Automotive Technology OER guide</t>
  </si>
  <si>
    <t xml:space="preserve">South Texas College library</t>
  </si>
  <si>
    <t xml:space="preserve">https://libguides.southtexascollege.edu/autotech/autotechoer</t>
  </si>
  <si>
    <t xml:space="preserve">Open educational resources</t>
  </si>
  <si>
    <t xml:space="preserve">Lists OER auto courses and licences (e.g. CC BY-NC-SA 3.0, CC BY 4.0)</t>
  </si>
  <si>
    <t xml:space="preserve">Directory only</t>
  </si>
  <si>
    <t xml:space="preserve">Discovery aid; check each licence</t>
  </si>
  <si>
    <t xml:space="preserve">Do not cite as evidence</t>
  </si>
  <si>
    <t xml:space="preserve">S38</t>
  </si>
  <si>
    <t xml:space="preserve">UN Regulation No. 13-H (light-vehicle braking) consolidated text</t>
  </si>
  <si>
    <t xml:space="preserve">UNECE, published via EUR-Lex (2023/401)</t>
  </si>
  <si>
    <t xml:space="preserve">https://eur-lex.europa.eu/eli/reg/2023/401/oj/eng</t>
  </si>
  <si>
    <t xml:space="preserve">Braking regulation</t>
  </si>
  <si>
    <t xml:space="preserve">Applies to braking of M1 and N1 vehicles; defines regenerative braking categories A and B; ESC and brake assist are approved separately</t>
  </si>
  <si>
    <t xml:space="preserve">Type-approval text; national adoption varies (e.g. Australia's ADR 31)</t>
  </si>
  <si>
    <t xml:space="preserve">Public legal text; cite section numbers</t>
  </si>
  <si>
    <t xml:space="preserve">UN R140 (ESC) text itself not yet read</t>
  </si>
  <si>
    <t xml:space="preserve">S39</t>
  </si>
  <si>
    <t xml:space="preserve">ISO 26262 functional safety overview</t>
  </si>
  <si>
    <t xml:space="preserve">TUV SUD and itemis glossary (secondary)</t>
  </si>
  <si>
    <t xml:space="preserve">https://www.tuvsud.com/en-us/services/testing/functional-safety-testing/iso-26262-automotive</t>
  </si>
  <si>
    <t xml:space="preserve">Functional safety</t>
  </si>
  <si>
    <t xml:space="preserve">ASIL A-D derived from severity, exposure and controllability; not itself law; 2018 edition covers all series-production road vehicles except mopeds</t>
  </si>
  <si>
    <t xml:space="preserve">Electrical/electronic safety only; not mechanical-only systems</t>
  </si>
  <si>
    <t xml:space="preserve">Teach concepts in own words</t>
  </si>
  <si>
    <t xml:space="preserve">Primary ISO text is paywalled; not read</t>
  </si>
  <si>
    <t xml:space="preserve">S40</t>
  </si>
  <si>
    <t xml:space="preserve">IIHS test protocols and technical information</t>
  </si>
  <si>
    <t xml:space="preserve">Insurance Institute for Highway Safety</t>
  </si>
  <si>
    <t xml:space="preserve">https://www.iihs.org/ratings/about-our-tests/test-protocols-and-technical-information</t>
  </si>
  <si>
    <t xml:space="preserve">Crash testing</t>
  </si>
  <si>
    <t xml:space="preserve">IIHS rates moderate overlap front, small overlap front and side tests; protocols are versioned and updated (several versions dated May 2025)</t>
  </si>
  <si>
    <t xml:space="preserve">US insurer-funded research body</t>
  </si>
  <si>
    <t xml:space="preserve">Protocol versions change; date every statement</t>
  </si>
  <si>
    <t xml:space="preserve">S41</t>
  </si>
  <si>
    <t xml:space="preserve">Euro NCAP rating structure (2026)</t>
  </si>
  <si>
    <t xml:space="preserve">evkx.net (secondary)</t>
  </si>
  <si>
    <t xml:space="preserve">https://evkx.net/en/technology/safety/crashtesting/</t>
  </si>
  <si>
    <t xml:space="preserve">From 2026 Euro NCAP scores four stages out of 100; ratings valid up to six years</t>
  </si>
  <si>
    <t xml:space="preserve">Secondary summary</t>
  </si>
  <si>
    <t xml:space="preserve">Fetch euroncap.com primary pages</t>
  </si>
  <si>
    <t xml:space="preserve">S42</t>
  </si>
  <si>
    <t xml:space="preserve">OEM service information website directory (NASTF-derived)</t>
  </si>
  <si>
    <t xml:space="preserve">AA1Car / NASTF listing</t>
  </si>
  <si>
    <t xml:space="preserve">https://www.aa1car.com/library/oemwebsites.htm</t>
  </si>
  <si>
    <t xml:space="preserve">Most makers sell day/month/year access to service information; NASTF Service Information Matrix is the directory</t>
  </si>
  <si>
    <t xml:space="preserve">Prices seen are dated (2006-2019): do not quote</t>
  </si>
  <si>
    <t xml:space="preserve">Link out only</t>
  </si>
  <si>
    <t xml:space="preserve">Use current NASTF matrix; check each OEM's terms</t>
  </si>
  <si>
    <t xml:space="preserve">S43</t>
  </si>
  <si>
    <t xml:space="preserve">Kei car regulations</t>
  </si>
  <si>
    <t xml:space="preserve">Encyclopedia article (secondary)</t>
  </si>
  <si>
    <t xml:space="preserve">https://en.wikipedia.org/wiki/Kei_car</t>
  </si>
  <si>
    <t xml:space="preserve">Since Oct 1998: up to 3.4 m long, 1.48 m wide, under 2.0 m high, under 660 cc; the 64 PS figure is an industry agreement, not statute</t>
  </si>
  <si>
    <t xml:space="preserve">No Japanese government primary found</t>
  </si>
  <si>
    <t xml:space="preserve">Find MLIT primary before using any number</t>
  </si>
  <si>
    <t xml:space="preserve">S44</t>
  </si>
  <si>
    <t xml:space="preserve">FMVSS No. 116 Motor vehicle brake fluids (49 CFR 571.116)</t>
  </si>
  <si>
    <t xml:space="preserve">NHTSA / US government (read via Cornell LII and eCFR)</t>
  </si>
  <si>
    <t xml:space="preserve">https://www.law.cornell.edu/cfr/text/49/571.116</t>
  </si>
  <si>
    <t xml:space="preserve">Brake fluid</t>
  </si>
  <si>
    <t xml:space="preserve">Minimum dry equilibrium reflux boiling point: 205 C (DOT 3), 230 C (DOT 4), 260 C (third tier); minimum wet: 140 C, 155 C, 180 C</t>
  </si>
  <si>
    <t xml:space="preserve">US federal; excerpt did not show whether the top tier is labelled DOT 5 or DOT 5.1</t>
  </si>
  <si>
    <t xml:space="preserve">US government text; cite section numbers</t>
  </si>
  <si>
    <t xml:space="preserve">Confirm top-tier label in full eCFR text before naming it</t>
  </si>
  <si>
    <t xml:space="preserve">S45</t>
  </si>
  <si>
    <t xml:space="preserve">NHTSA interpretation 12089 on brake fluid labelling</t>
  </si>
  <si>
    <t xml:space="preserve">NHTSA</t>
  </si>
  <si>
    <t xml:space="preserve">https://www.nhtsa.gov/interpretations/12089mls</t>
  </si>
  <si>
    <t xml:space="preserve">Container must show the minimum wet boiling point (F) of the fluid inside; DOT 4 minimum wet is 311 F</t>
  </si>
  <si>
    <t xml:space="preserve">US federal</t>
  </si>
  <si>
    <t xml:space="preserve">S46</t>
  </si>
  <si>
    <t xml:space="preserve">FMVSS No. 139 New pneumatic radial tires for light vehicles</t>
  </si>
  <si>
    <t xml:space="preserve">NHTSA / US government (Cornell LII)</t>
  </si>
  <si>
    <t xml:space="preserve">https://www.law.cornell.edu/cfr/text/49/571.139</t>
  </si>
  <si>
    <t xml:space="preserve">Applies to new radial tires for vehicles up to 10,000 lb GVWR; specifies dimensions, tests, markings and load ratings</t>
  </si>
  <si>
    <t xml:space="preserve">US federal; excludes some tire types (e.g. trailer ST tires)</t>
  </si>
  <si>
    <t xml:space="preserve">Load-index table itself needs ETRTO/TRA source; TIN length rule (13 symbols) seen via trade summary</t>
  </si>
  <si>
    <t xml:space="preserve">S47</t>
  </si>
  <si>
    <t xml:space="preserve">Beginner's Guide to Aeronautics: 4-stroke internal combustion engine</t>
  </si>
  <si>
    <t xml:space="preserve">NASA Glenn Research Center</t>
  </si>
  <si>
    <t xml:space="preserve">https://www.grc.nasa.gov/WWW/k-12/BGP/engopt.html</t>
  </si>
  <si>
    <t xml:space="preserve">Engine fundamentals</t>
  </si>
  <si>
    <t xml:space="preserve">Four strokes (intake, compression, power, exhaust); real engines perform worse than the ideal cycle described</t>
  </si>
  <si>
    <t xml:space="preserve">Idealised cycle using a 1903 aircraft engine example</t>
  </si>
  <si>
    <t xml:space="preserve">NASA material generally reusable with credit: confirm terms for images</t>
  </si>
  <si>
    <t xml:space="preserve">Add automotive-specific valve timing source</t>
  </si>
  <si>
    <t xml:space="preserve">S48</t>
  </si>
  <si>
    <t xml:space="preserve">NFPA Electric Vehicle Emergency Field Guide</t>
  </si>
  <si>
    <t xml:space="preserve">NFPA (copy hosted by Mass.gov)</t>
  </si>
  <si>
    <t xml:space="preserve">https://www.mass.gov/doc/electric-vehicle-efg-classroom-edition/download</t>
  </si>
  <si>
    <t xml:space="preserve">HV safety (responders)</t>
  </si>
  <si>
    <t xml:space="preserve">Never contact exposed HV parts or breach the HV battery; electrolyte is flammable; 12 V disconnect is part of response</t>
  </si>
  <si>
    <t xml:space="preserve">First-responder context, not service procedure</t>
  </si>
  <si>
    <t xml:space="preserve">Cite; link out</t>
  </si>
  <si>
    <t xml:space="preserve">Written for responders: do not repurpose as repair steps</t>
  </si>
  <si>
    <t xml:space="preserve">S49</t>
  </si>
  <si>
    <t xml:space="preserve">Electric Vehicle Safety Training Resources for First and Second Responders</t>
  </si>
  <si>
    <t xml:space="preserve">https://afdc.energy.gov/vehicles/electric_responders.html</t>
  </si>
  <si>
    <t xml:space="preserve">HV safety (directory)</t>
  </si>
  <si>
    <t xml:space="preserve">Points to NFPA field guides, NHTSA interim guidance and an NTSB report on lithium-ion battery fires</t>
  </si>
  <si>
    <t xml:space="preserve">Directory</t>
  </si>
  <si>
    <t xml:space="preserve">US government; link</t>
  </si>
  <si>
    <t xml:space="preserve">Fetch the NHTSA and NTSB documents themselves</t>
  </si>
  <si>
    <t xml:space="preserve">Topic</t>
  </si>
  <si>
    <t xml:space="preserve">Hazard</t>
  </si>
  <si>
    <t xml:space="preserve">Content rule for SHIFT</t>
  </si>
  <si>
    <t xml:space="preserve">Supporting sources</t>
  </si>
  <si>
    <t xml:space="preserve">Assessment threshold</t>
  </si>
  <si>
    <t xml:space="preserve">SC01</t>
  </si>
  <si>
    <t xml:space="preserve">High-voltage hybrid/EV systems</t>
  </si>
  <si>
    <t xml:space="preserve">Electric shock, arc flash, residual voltage</t>
  </si>
  <si>
    <t xml:space="preserve">Teach principles and component identification; no live-work procedures; require OEM procedure and trained personnel; show 'stop and refer' screen</t>
  </si>
  <si>
    <t xml:space="preserve">S13, S21, S22, S48, S49</t>
  </si>
  <si>
    <t xml:space="preserve">Strict (100% on safety items)</t>
  </si>
  <si>
    <t xml:space="preserve">SC02</t>
  </si>
  <si>
    <t xml:space="preserve">Traction battery damage / thermal runaway</t>
  </si>
  <si>
    <t xml:space="preserve">Fire, toxic vented gas, re-ignition after apparent extinguishment</t>
  </si>
  <si>
    <t xml:space="preserve">Teach failure mechanisms; direct to emergency services; no cell-level repair content</t>
  </si>
  <si>
    <t xml:space="preserve">S20, S48</t>
  </si>
  <si>
    <t xml:space="preserve">Strict</t>
  </si>
  <si>
    <t xml:space="preserve">SC03</t>
  </si>
  <si>
    <t xml:space="preserve">Braking system</t>
  </si>
  <si>
    <t xml:space="preserve">Loss of braking, fluid boiling, wrong fluid (DOT 5 in ABS)</t>
  </si>
  <si>
    <t xml:space="preserve">Fluid facts only from FMVSS 116 text; never advise road-testing an unverified system; professional validation</t>
  </si>
  <si>
    <t xml:space="preserve">S06, S24, S38, S44, S45</t>
  </si>
  <si>
    <t xml:space="preserve">SC04</t>
  </si>
  <si>
    <t xml:space="preserve">Steering and suspension structure</t>
  </si>
  <si>
    <t xml:space="preserve">Loss of control, fastener failure</t>
  </si>
  <si>
    <t xml:space="preserve">Specs only from manufacturer documentation; alignment and structural repair boundaries stated</t>
  </si>
  <si>
    <t xml:space="preserve">SC05</t>
  </si>
  <si>
    <t xml:space="preserve">Vehicle lifting and support</t>
  </si>
  <si>
    <t xml:space="preserve">Crush injury or death</t>
  </si>
  <si>
    <t xml:space="preserve">Rated stands, OEM jacking points, wheels chocked, never rely on a jack alone</t>
  </si>
  <si>
    <t xml:space="preserve">SC06</t>
  </si>
  <si>
    <t xml:space="preserve">Brake and clutch dust (possible asbestos)</t>
  </si>
  <si>
    <t xml:space="preserve">Long-latency lung disease</t>
  </si>
  <si>
    <t xml:space="preserve">Wet methods, no compressed air, respirator guidance</t>
  </si>
  <si>
    <t xml:space="preserve">SC07</t>
  </si>
  <si>
    <t xml:space="preserve">Fuel systems and high-pressure injection</t>
  </si>
  <si>
    <t xml:space="preserve">Fire, injection injury</t>
  </si>
  <si>
    <t xml:space="preserve">Depressurise per OEM procedure; ignition-source control</t>
  </si>
  <si>
    <t xml:space="preserve">none yet</t>
  </si>
  <si>
    <t xml:space="preserve">Strict; source gap</t>
  </si>
  <si>
    <t xml:space="preserve">SC08</t>
  </si>
  <si>
    <t xml:space="preserve">Hydrogen storage and fuel-cell vehicles</t>
  </si>
  <si>
    <t xml:space="preserve">High-pressure gas, flammability</t>
  </si>
  <si>
    <t xml:space="preserve">Principles only; refer to OEM and emergency-response guides</t>
  </si>
  <si>
    <t xml:space="preserve">SC09</t>
  </si>
  <si>
    <t xml:space="preserve">Airbags and restraints (SRS)</t>
  </si>
  <si>
    <t xml:space="preserve">Accidental deployment, defeated protection</t>
  </si>
  <si>
    <t xml:space="preserve">Do not teach defeat or bypass; OEM disarm procedure only</t>
  </si>
  <si>
    <t xml:space="preserve">SC10</t>
  </si>
  <si>
    <t xml:space="preserve">Welding, cutting, structural repair</t>
  </si>
  <si>
    <t xml:space="preserve">Fire, fumes, weakened crash structure</t>
  </si>
  <si>
    <t xml:space="preserve">Crash-structure repair is professional-only; PPE and fire precautions</t>
  </si>
  <si>
    <t xml:space="preserve">SC11</t>
  </si>
  <si>
    <t xml:space="preserve">Pressurised cooling systems</t>
  </si>
  <si>
    <t xml:space="preserve">Scalding</t>
  </si>
  <si>
    <t xml:space="preserve">Never open hot; OEM procedure</t>
  </si>
  <si>
    <t xml:space="preserve">Standard; source gap</t>
  </si>
  <si>
    <t xml:space="preserve">SC12</t>
  </si>
  <si>
    <t xml:space="preserve">Emissions-control tampering and ECU tuning</t>
  </si>
  <si>
    <t xml:space="preserve">Illegal modification, excess pollution</t>
  </si>
  <si>
    <t xml:space="preserve">Jurisdiction selector; separate road-legal from competition-only; no defeat-device content</t>
  </si>
  <si>
    <t xml:space="preserve">S12, S30</t>
  </si>
  <si>
    <t xml:space="preserve">SC13</t>
  </si>
  <si>
    <t xml:space="preserve">Automated driving features</t>
  </si>
  <si>
    <t xml:space="preserve">Misplaced driver reliance</t>
  </si>
  <si>
    <t xml:space="preserve">Teach J3016 roles; Level 2 means the driver still drives</t>
  </si>
  <si>
    <t xml:space="preserve">Standard</t>
  </si>
  <si>
    <t xml:space="preserve">SC14</t>
  </si>
  <si>
    <t xml:space="preserve">Connected vehicles and OTA updates</t>
  </si>
  <si>
    <t xml:space="preserve">Safety or cyber compromise</t>
  </si>
  <si>
    <t xml:space="preserve">Explain R155/R156; no instructions to bypass security</t>
  </si>
  <si>
    <t xml:space="preserve">S05, S34</t>
  </si>
  <si>
    <t xml:space="preserve">Common belief</t>
  </si>
  <si>
    <t xml:space="preserve">Correction</t>
  </si>
  <si>
    <t xml:space="preserve">Source IDs</t>
  </si>
  <si>
    <t xml:space="preserve">M01</t>
  </si>
  <si>
    <t xml:space="preserve">Any Japan-built car is a JDM car</t>
  </si>
  <si>
    <t xml:space="preserve">Strictly, JDM means sold new in Japan; a Japan-made car sold elsewhere is not automatically JDM</t>
  </si>
  <si>
    <t xml:space="preserve">M02</t>
  </si>
  <si>
    <t xml:space="preserve">Premium fuel adds power in any engine</t>
  </si>
  <si>
    <t xml:space="preserve">Octane measures knock resistance; engines designed for regular fuel gain little from premium</t>
  </si>
  <si>
    <t xml:space="preserve">M03</t>
  </si>
  <si>
    <t xml:space="preserve">SAE viscosity grade tells you oil quality</t>
  </si>
  <si>
    <t xml:space="preserve">SAE J300 grades viscosity only; API service categories are a separate system</t>
  </si>
  <si>
    <t xml:space="preserve">M04</t>
  </si>
  <si>
    <t xml:space="preserve">Pump octane numbers are the same worldwide</t>
  </si>
  <si>
    <t xml:space="preserve">US pump AKI is the average of RON and MON; Europe quotes RON, so numbers are not interchangeable</t>
  </si>
  <si>
    <t xml:space="preserve">M05</t>
  </si>
  <si>
    <t xml:space="preserve">All brake fluids can be mixed or swapped</t>
  </si>
  <si>
    <t xml:space="preserve">DOT 5 is silicone and is not for ABS systems; DOT 3, 4 and 5.1 are glycol-based and hygroscopic</t>
  </si>
  <si>
    <t xml:space="preserve">M06</t>
  </si>
  <si>
    <t xml:space="preserve">The number on the tire sidewall is the recommended pressure</t>
  </si>
  <si>
    <t xml:space="preserve">Sidewall shows maximum cold inflation and load; recommended pressure comes from the vehicle</t>
  </si>
  <si>
    <t xml:space="preserve">M07</t>
  </si>
  <si>
    <t xml:space="preserve">A federal safety standard means the best possible safety</t>
  </si>
  <si>
    <t xml:space="preserve">FMVSS are minimum performance standards</t>
  </si>
  <si>
    <t xml:space="preserve">M08</t>
  </si>
  <si>
    <t xml:space="preserve">Level 2 driver assistance is self-driving</t>
  </si>
  <si>
    <t xml:space="preserve">In J3016 Levels 0-2 the human still drives and monitors; Levels 3-5 are automated driving only while engaged</t>
  </si>
  <si>
    <t xml:space="preserve">M09</t>
  </si>
  <si>
    <t xml:space="preserve">A switched-off EV is safe to work on</t>
  </si>
  <si>
    <t xml:space="preserve">Only qualified staff de-energize, then verify absence of voltage; residual voltage can remain</t>
  </si>
  <si>
    <t xml:space="preserve">S21, S22</t>
  </si>
  <si>
    <t xml:space="preserve">M10</t>
  </si>
  <si>
    <t xml:space="preserve">Emissions tampering is only illegal for sellers</t>
  </si>
  <si>
    <t xml:space="preserve">EPA policy covers tampering with emissions controls for the life of the vehicle, including software changes</t>
  </si>
  <si>
    <t xml:space="preserve">M11</t>
  </si>
  <si>
    <t xml:space="preserve">Turbo boost gauge reading equals pressure ratio</t>
  </si>
  <si>
    <t xml:space="preserve">Pressure ratio uses absolute pressures at compressor inlet and outlet</t>
  </si>
  <si>
    <t xml:space="preserve">Type</t>
  </si>
  <si>
    <t xml:space="preserve">Issue</t>
  </si>
  <si>
    <t xml:space="preserve">Resolution / next step</t>
  </si>
  <si>
    <t xml:space="preserve">Resolved</t>
  </si>
  <si>
    <t xml:space="preserve">Earlier brake-fluid number conflict: the trade table figures (205/230/260 C dry; 140/155/180 C wet) match FMVSS 116. My first suspicion was wrong.</t>
  </si>
  <si>
    <t xml:space="preserve">Use FMVSS 116 (S44) numbers. Still confirm whether the top tier is labelled DOT 5 or 5.1 in the full eCFR text.</t>
  </si>
  <si>
    <t xml:space="preserve">Conflict</t>
  </si>
  <si>
    <t xml:space="preserve">NASCAR Next Gen superspeedway power quoted as 510 hp by one source and 550 hp by others</t>
  </si>
  <si>
    <t xml:space="preserve">Obtain NASCAR official rulebook before stating any figure</t>
  </si>
  <si>
    <t xml:space="preserve">WRC Rally1 plans reversed within months (hybrid removal announced then withdrawn)</t>
  </si>
  <si>
    <t xml:space="preserve">Date-stamp every motorsport rule; update cycle needed</t>
  </si>
  <si>
    <t xml:space="preserve">Uncertainty</t>
  </si>
  <si>
    <t xml:space="preserve">F1 2026 power split (400 kW ICE / 350 kW electric) from a trade outlet, not the FIA regulation text</t>
  </si>
  <si>
    <t xml:space="preserve">Confirm in FIA PU regulations before use</t>
  </si>
  <si>
    <t xml:space="preserve">FMVSS section count and update date from a mirror site</t>
  </si>
  <si>
    <t xml:space="preserve">Verify on eCFR</t>
  </si>
  <si>
    <t xml:space="preserve">EPA tampering policy may have newer revision than the 2020 file</t>
  </si>
  <si>
    <t xml:space="preserve">Check epa.gov for current policy</t>
  </si>
  <si>
    <t xml:space="preserve">EU Directive text read through a UK-hosted copy</t>
  </si>
  <si>
    <t xml:space="preserve">Verify on EUR-Lex</t>
  </si>
  <si>
    <t xml:space="preserve">Gap</t>
  </si>
  <si>
    <t xml:space="preserve">Primary UNECE pages (regulation texts, current contracting parties)</t>
  </si>
  <si>
    <t xml:space="preserve">Round 3 partial: R13-H text found (S38); R140 and others still to read</t>
  </si>
  <si>
    <t xml:space="preserve">-</t>
  </si>
  <si>
    <t xml:space="preserve">ISO 26262 functional safety; ASIL levels</t>
  </si>
  <si>
    <t xml:space="preserve">Round 3 partial: secondary sources only (S39)</t>
  </si>
  <si>
    <t xml:space="preserve">Primary tire standards (FMVSS 109/139, ETRTO)</t>
  </si>
  <si>
    <t xml:space="preserve">Round 4 partial: FMVSS 139 read (S46); ETRTO/TRA load-index table still needed</t>
  </si>
  <si>
    <t xml:space="preserve">Engine mechanical build data and fits: must come from per-vehicle service manuals; none can be invented</t>
  </si>
  <si>
    <t xml:space="preserve">By design: app requires user to consult OEM manual</t>
  </si>
  <si>
    <t xml:space="preserve">Honda, Nissan, Mazda, Subaru, BMW, Mercedes, VW, Porsche, Ford, GM, Hyundai/Kia, Tesla public technical sites not individually checked</t>
  </si>
  <si>
    <t xml:space="preserve">Round 3 partial: directory found (S42); per-OEM terms still unchecked</t>
  </si>
  <si>
    <t xml:space="preserve">Euro NCAP and IIHS crash protocols; airbag/SRS standards</t>
  </si>
  <si>
    <t xml:space="preserve">Round 3 partial: IIHS primary found (S40); Euro NCAP primary still needed</t>
  </si>
  <si>
    <t xml:space="preserve">Regions beyond US, EU/UK and Japan: inspection, import and emissions rules</t>
  </si>
  <si>
    <t xml:space="preserve">Needed for jurisdiction selector</t>
  </si>
  <si>
    <t xml:space="preserve">DTM, endurance/GT (WEC/IMSA), NHRA drag, drifting rule sets</t>
  </si>
  <si>
    <t xml:space="preserve">Round 3</t>
  </si>
  <si>
    <t xml:space="preserve">Hydrogen tank standards; fuel-system depressurisation sources</t>
  </si>
  <si>
    <t xml:space="preserve">Original technical diagrams and licensed imagery</t>
  </si>
  <si>
    <t xml:space="preserve">Must be produced or licensed; none found to reuse</t>
  </si>
  <si>
    <t xml:space="preserve">Common claim that kei cars have a legal 64 PS limit; sources say it is an automaker agreement, not regulation</t>
  </si>
  <si>
    <t xml:space="preserve">Teach as industry agreement; verify against MLIT</t>
  </si>
  <si>
    <t xml:space="preserve">OEM service-information prices in sources are dated (2006-2019)</t>
  </si>
  <si>
    <t xml:space="preserve">Never quote prices; link to the NASTF matrix</t>
  </si>
  <si>
    <t xml:space="preserve">#</t>
  </si>
  <si>
    <t xml:space="preserve">Search topic</t>
  </si>
  <si>
    <t xml:space="preserve">Date</t>
  </si>
  <si>
    <t xml:space="preserve">Round</t>
  </si>
  <si>
    <t xml:space="preserve">ASE certification test series task lists</t>
  </si>
  <si>
    <t xml:space="preserve">Round 1</t>
  </si>
  <si>
    <t xml:space="preserve">UNECE WP.29 1958 and 1998 Agreements</t>
  </si>
  <si>
    <t xml:space="preserve">NHTSA FMVSS 49 CFR Part 571</t>
  </si>
  <si>
    <t xml:space="preserve">MIT OCW internal combustion engines</t>
  </si>
  <si>
    <t xml:space="preserve">SAE J1979 / J2012 OBD-II</t>
  </si>
  <si>
    <t xml:space="preserve">EV high-voltage safety and de-energizing</t>
  </si>
  <si>
    <t xml:space="preserve">Open educational automotive textbooks</t>
  </si>
  <si>
    <t xml:space="preserve">EPA tampering and defeat devices</t>
  </si>
  <si>
    <t xml:space="preserve">JDM definition and kei cars</t>
  </si>
  <si>
    <t xml:space="preserve">FIA 2026 Formula 1 regulations</t>
  </si>
  <si>
    <t xml:space="preserve">UN R155/R156/R79/R13-H</t>
  </si>
  <si>
    <t xml:space="preserve">DOE AFDC EV components</t>
  </si>
  <si>
    <t xml:space="preserve">SAE J300 and API oil classification</t>
  </si>
  <si>
    <t xml:space="preserve">Round 2</t>
  </si>
  <si>
    <t xml:space="preserve">Li-ion degradation and thermal runaway</t>
  </si>
  <si>
    <t xml:space="preserve">EV charging standards (CCS, NACS/J3400, J1772, GB/T)</t>
  </si>
  <si>
    <t xml:space="preserve">Vehicle dynamics university sources</t>
  </si>
  <si>
    <t xml:space="preserve">Tire sidewall markings, UTQG, TPMS</t>
  </si>
  <si>
    <t xml:space="preserve">Brake fluid DOT grades and ABS</t>
  </si>
  <si>
    <t xml:space="preserve">SAE J3016 driving automation levels</t>
  </si>
  <si>
    <t xml:space="preserve">CAN bus, UDS, ISO 26262</t>
  </si>
  <si>
    <t xml:space="preserve">Diesel aftertreatment (DPF, SCR, EGR) and Euro 6</t>
  </si>
  <si>
    <t xml:space="preserve">Workshop safety: lifts, jack stands, brake dust</t>
  </si>
  <si>
    <t xml:space="preserve">Turbocharger fundamentals</t>
  </si>
  <si>
    <t xml:space="preserve">Transmission types (automatic, DCT, CVT)</t>
  </si>
  <si>
    <t xml:space="preserve">WRC Rally1 regulations</t>
  </si>
  <si>
    <t xml:space="preserve">NASCAR Next Gen specs</t>
  </si>
  <si>
    <t xml:space="preserve">Toyota TIS access terms</t>
  </si>
  <si>
    <t xml:space="preserve">Bosch Automotive Handbook</t>
  </si>
  <si>
    <t xml:space="preserve">EU roadworthiness Directive 2014/45/EU</t>
  </si>
  <si>
    <t xml:space="preserve">Body materials and crash structures</t>
  </si>
  <si>
    <t xml:space="preserve">Hydrogen fuel-cell vehicles</t>
  </si>
  <si>
    <t xml:space="preserve">Software-defined vehicles and zonal architecture</t>
  </si>
  <si>
    <t xml:space="preserve">Octane, RON/MON/AKI and knock</t>
  </si>
  <si>
    <t xml:space="preserve">Open-source CAD/CFD/FEA tools</t>
  </si>
  <si>
    <t xml:space="preserve">UN R13-H / R140 primary text</t>
  </si>
  <si>
    <t xml:space="preserve">ISO 26262 and ASIL</t>
  </si>
  <si>
    <t xml:space="preserve">IIHS and Euro NCAP protocols</t>
  </si>
  <si>
    <t xml:space="preserve">OEM service information sites and access</t>
  </si>
  <si>
    <t xml:space="preserve">FMVSS 116 brake fluid text</t>
  </si>
  <si>
    <t xml:space="preserve">Round 4</t>
  </si>
  <si>
    <t xml:space="preserve">FMVSS 139 tire standard</t>
  </si>
  <si>
    <t xml:space="preserve">NASA four-stroke engine guide</t>
  </si>
  <si>
    <t xml:space="preserve">HV safety: NFPA and government guidance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</si>
</sst>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F3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B2F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8" customFormat="false" ht="15" hidden="false" customHeight="true" outlineLevel="0" collapsed="false">
      <c r="A8" s="4" t="s">
        <v>5</v>
      </c>
      <c r="B8" s="4" t="s">
        <v>6</v>
      </c>
    </row>
    <row r="9" customFormat="false" ht="15" hidden="false" customHeight="true" outlineLevel="0" collapsed="false">
      <c r="A9" s="3" t="s">
        <v>7</v>
      </c>
      <c r="B9" s="3" t="n">
        <f aca="false">COUNTIF('Source Registry'!E:E,A9)</f>
        <v>18</v>
      </c>
    </row>
    <row r="10" customFormat="false" ht="15" hidden="false" customHeight="true" outlineLevel="0" collapsed="false">
      <c r="A10" s="3" t="s">
        <v>8</v>
      </c>
      <c r="B10" s="3" t="n">
        <f aca="false">COUNTIF('Source Registry'!E:E,A10)</f>
        <v>15</v>
      </c>
    </row>
    <row r="11" customFormat="false" ht="15" hidden="false" customHeight="true" outlineLevel="0" collapsed="false">
      <c r="A11" s="3" t="s">
        <v>9</v>
      </c>
      <c r="B11" s="3" t="n">
        <f aca="false">COUNTIF('Source Registry'!E:E,A11)</f>
        <v>13</v>
      </c>
    </row>
    <row r="12" customFormat="false" ht="15" hidden="false" customHeight="true" outlineLevel="0" collapsed="false">
      <c r="A12" s="3" t="s">
        <v>10</v>
      </c>
      <c r="B12" s="3" t="n">
        <f aca="false">COUNTIF('Source Registry'!E:E,A12)</f>
        <v>3</v>
      </c>
    </row>
    <row r="13" customFormat="false" ht="15" hidden="false" customHeight="true" outlineLevel="0" collapsed="false">
      <c r="A13" s="5" t="s">
        <v>11</v>
      </c>
      <c r="B13" s="5" t="n">
        <f aca="false">SUM(B9:B12)</f>
        <v>49</v>
      </c>
    </row>
    <row r="15" customFormat="false" ht="15" hidden="false" customHeight="true" outlineLevel="0" collapsed="false">
      <c r="A15" s="3" t="s">
        <v>12</v>
      </c>
      <c r="B15" s="3" t="n">
        <f aca="false">COUNTIF('Source Registry'!J:J,"Low")</f>
        <v>6</v>
      </c>
    </row>
    <row r="16" customFormat="false" ht="15" hidden="false" customHeight="true" outlineLevel="0" collapsed="false">
      <c r="A16" s="3" t="s">
        <v>13</v>
      </c>
      <c r="B16" s="3" t="n">
        <f aca="false">COUNTIF('Conflicts &amp; Gaps'!A:A,"Conflict")+COUNTIF('Conflicts &amp; Gaps'!A:A,"Uncertainty")</f>
        <v>8</v>
      </c>
    </row>
    <row r="17" customFormat="false" ht="15" hidden="false" customHeight="true" outlineLevel="0" collapsed="false">
      <c r="A17" s="3" t="s">
        <v>14</v>
      </c>
      <c r="B17" s="3" t="n">
        <f aca="false">COUNTIF('Conflicts &amp; Gaps'!A:A,"Gap")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8"/>
    <col collapsed="false" customWidth="true" hidden="false" outlineLevel="0" max="4" min="4" style="1" width="44"/>
    <col collapsed="false" customWidth="true" hidden="false" outlineLevel="0" max="5" min="5" style="1" width="6"/>
    <col collapsed="false" customWidth="true" hidden="false" outlineLevel="0" max="6" min="6" style="1" width="20"/>
    <col collapsed="false" customWidth="true" hidden="false" outlineLevel="0" max="7" min="7" style="1" width="52"/>
    <col collapsed="false" customWidth="true" hidden="false" outlineLevel="0" max="8" min="8" style="1" width="30"/>
    <col collapsed="false" customWidth="true" hidden="false" outlineLevel="0" max="9" min="9" style="1" width="32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11"/>
  </cols>
  <sheetData>
    <row r="1" customFormat="false" ht="23.25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5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</row>
    <row r="2" customFormat="false" ht="34.5" hidden="false" customHeight="true" outlineLevel="0" collapsed="false">
      <c r="A2" s="7" t="s">
        <v>26</v>
      </c>
      <c r="B2" s="7" t="s">
        <v>27</v>
      </c>
      <c r="C2" s="7" t="s">
        <v>28</v>
      </c>
      <c r="D2" s="7" t="s">
        <v>29</v>
      </c>
      <c r="E2" s="7" t="s">
        <v>8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35</v>
      </c>
      <c r="L2" s="7" t="s">
        <v>36</v>
      </c>
    </row>
    <row r="3" customFormat="false" ht="23.25" hidden="false" customHeight="tru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8</v>
      </c>
      <c r="F3" s="7" t="s">
        <v>30</v>
      </c>
      <c r="G3" s="7" t="s">
        <v>41</v>
      </c>
      <c r="H3" s="7" t="s">
        <v>42</v>
      </c>
      <c r="I3" s="7" t="s">
        <v>43</v>
      </c>
      <c r="J3" s="7" t="s">
        <v>34</v>
      </c>
      <c r="K3" s="7" t="s">
        <v>44</v>
      </c>
      <c r="L3" s="7" t="s">
        <v>36</v>
      </c>
    </row>
    <row r="4" customFormat="false" ht="23.25" hidden="false" customHeight="true" outlineLevel="0" collapsed="false">
      <c r="A4" s="7" t="s">
        <v>45</v>
      </c>
      <c r="B4" s="7" t="s">
        <v>46</v>
      </c>
      <c r="C4" s="7" t="s">
        <v>47</v>
      </c>
      <c r="D4" s="7" t="s">
        <v>48</v>
      </c>
      <c r="E4" s="7" t="s">
        <v>8</v>
      </c>
      <c r="F4" s="7" t="s">
        <v>49</v>
      </c>
      <c r="G4" s="7" t="s">
        <v>50</v>
      </c>
      <c r="H4" s="7" t="s">
        <v>51</v>
      </c>
      <c r="I4" s="7" t="s">
        <v>52</v>
      </c>
      <c r="J4" s="7" t="s">
        <v>53</v>
      </c>
      <c r="K4" s="7" t="s">
        <v>54</v>
      </c>
      <c r="L4" s="7" t="s">
        <v>36</v>
      </c>
    </row>
    <row r="5" customFormat="false" ht="23.25" hidden="false" customHeight="true" outlineLevel="0" collapsed="false">
      <c r="A5" s="7" t="s">
        <v>55</v>
      </c>
      <c r="B5" s="7" t="s">
        <v>56</v>
      </c>
      <c r="C5" s="7" t="s">
        <v>57</v>
      </c>
      <c r="D5" s="7" t="s">
        <v>58</v>
      </c>
      <c r="E5" s="7" t="s">
        <v>9</v>
      </c>
      <c r="F5" s="7" t="s">
        <v>59</v>
      </c>
      <c r="G5" s="7" t="s">
        <v>60</v>
      </c>
      <c r="H5" s="7" t="s">
        <v>61</v>
      </c>
      <c r="I5" s="7" t="s">
        <v>62</v>
      </c>
      <c r="J5" s="7" t="s">
        <v>53</v>
      </c>
      <c r="K5" s="7" t="s">
        <v>63</v>
      </c>
      <c r="L5" s="7" t="s">
        <v>36</v>
      </c>
    </row>
    <row r="6" customFormat="false" ht="34.5" hidden="false" customHeight="true" outlineLevel="0" collapsed="false">
      <c r="A6" s="7" t="s">
        <v>64</v>
      </c>
      <c r="B6" s="7" t="s">
        <v>65</v>
      </c>
      <c r="C6" s="7" t="s">
        <v>66</v>
      </c>
      <c r="D6" s="7" t="s">
        <v>67</v>
      </c>
      <c r="E6" s="7" t="s">
        <v>7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34</v>
      </c>
      <c r="K6" s="7" t="s">
        <v>72</v>
      </c>
      <c r="L6" s="7" t="s">
        <v>36</v>
      </c>
    </row>
    <row r="7" customFormat="false" ht="34.5" hidden="false" customHeight="true" outlineLevel="0" collapsed="false">
      <c r="A7" s="7" t="s">
        <v>73</v>
      </c>
      <c r="B7" s="7" t="s">
        <v>74</v>
      </c>
      <c r="C7" s="7" t="s">
        <v>75</v>
      </c>
      <c r="D7" s="7" t="s">
        <v>76</v>
      </c>
      <c r="E7" s="7" t="s">
        <v>7</v>
      </c>
      <c r="F7" s="7" t="s">
        <v>77</v>
      </c>
      <c r="G7" s="7" t="s">
        <v>78</v>
      </c>
      <c r="H7" s="7" t="s">
        <v>79</v>
      </c>
      <c r="I7" s="7" t="s">
        <v>80</v>
      </c>
      <c r="J7" s="7" t="s">
        <v>34</v>
      </c>
      <c r="K7" s="7" t="s">
        <v>81</v>
      </c>
      <c r="L7" s="7" t="s">
        <v>36</v>
      </c>
    </row>
    <row r="8" customFormat="false" ht="34.5" hidden="false" customHeight="true" outlineLevel="0" collapsed="false">
      <c r="A8" s="7" t="s">
        <v>82</v>
      </c>
      <c r="B8" s="7" t="s">
        <v>83</v>
      </c>
      <c r="C8" s="7" t="s">
        <v>84</v>
      </c>
      <c r="D8" s="7" t="s">
        <v>85</v>
      </c>
      <c r="E8" s="7" t="s">
        <v>8</v>
      </c>
      <c r="F8" s="7" t="s">
        <v>86</v>
      </c>
      <c r="G8" s="7" t="s">
        <v>87</v>
      </c>
      <c r="H8" s="7" t="s">
        <v>88</v>
      </c>
      <c r="I8" s="7" t="s">
        <v>89</v>
      </c>
      <c r="J8" s="7" t="s">
        <v>34</v>
      </c>
      <c r="K8" s="7" t="s">
        <v>90</v>
      </c>
      <c r="L8" s="7" t="s">
        <v>36</v>
      </c>
    </row>
    <row r="9" customFormat="false" ht="45.75" hidden="false" customHeight="true" outlineLevel="0" collapsed="false">
      <c r="A9" s="7" t="s">
        <v>91</v>
      </c>
      <c r="B9" s="7" t="s">
        <v>92</v>
      </c>
      <c r="C9" s="7" t="s">
        <v>93</v>
      </c>
      <c r="D9" s="7" t="s">
        <v>94</v>
      </c>
      <c r="E9" s="7" t="s">
        <v>8</v>
      </c>
      <c r="F9" s="7" t="s">
        <v>95</v>
      </c>
      <c r="G9" s="7" t="s">
        <v>96</v>
      </c>
      <c r="H9" s="7" t="s">
        <v>97</v>
      </c>
      <c r="I9" s="7" t="s">
        <v>98</v>
      </c>
      <c r="J9" s="7" t="s">
        <v>34</v>
      </c>
      <c r="K9" s="7" t="s">
        <v>99</v>
      </c>
      <c r="L9" s="7" t="s">
        <v>36</v>
      </c>
    </row>
    <row r="10" customFormat="false" ht="23.25" hidden="false" customHeight="true" outlineLevel="0" collapsed="false">
      <c r="A10" s="7" t="s">
        <v>100</v>
      </c>
      <c r="B10" s="7" t="s">
        <v>101</v>
      </c>
      <c r="C10" s="7" t="s">
        <v>102</v>
      </c>
      <c r="D10" s="7" t="s">
        <v>103</v>
      </c>
      <c r="E10" s="7" t="s">
        <v>7</v>
      </c>
      <c r="F10" s="7" t="s">
        <v>104</v>
      </c>
      <c r="G10" s="7" t="s">
        <v>105</v>
      </c>
      <c r="H10" s="7" t="s">
        <v>106</v>
      </c>
      <c r="I10" s="7" t="s">
        <v>107</v>
      </c>
      <c r="J10" s="7" t="s">
        <v>34</v>
      </c>
      <c r="K10" s="7" t="s">
        <v>108</v>
      </c>
      <c r="L10" s="7" t="s">
        <v>36</v>
      </c>
    </row>
    <row r="11" customFormat="false" ht="23.25" hidden="false" customHeight="true" outlineLevel="0" collapsed="false">
      <c r="A11" s="7" t="s">
        <v>109</v>
      </c>
      <c r="B11" s="7" t="s">
        <v>110</v>
      </c>
      <c r="C11" s="7" t="s">
        <v>111</v>
      </c>
      <c r="D11" s="7" t="s">
        <v>112</v>
      </c>
      <c r="E11" s="7" t="s">
        <v>7</v>
      </c>
      <c r="F11" s="7" t="s">
        <v>113</v>
      </c>
      <c r="G11" s="7" t="s">
        <v>114</v>
      </c>
      <c r="H11" s="7" t="s">
        <v>115</v>
      </c>
      <c r="I11" s="7" t="s">
        <v>116</v>
      </c>
      <c r="J11" s="7" t="s">
        <v>34</v>
      </c>
      <c r="K11" s="7" t="s">
        <v>117</v>
      </c>
      <c r="L11" s="7" t="s">
        <v>36</v>
      </c>
    </row>
    <row r="12" customFormat="false" ht="23.25" hidden="false" customHeight="true" outlineLevel="0" collapsed="false">
      <c r="A12" s="7" t="s">
        <v>118</v>
      </c>
      <c r="B12" s="7" t="s">
        <v>119</v>
      </c>
      <c r="C12" s="7" t="s">
        <v>120</v>
      </c>
      <c r="D12" s="7" t="s">
        <v>121</v>
      </c>
      <c r="E12" s="7" t="s">
        <v>7</v>
      </c>
      <c r="F12" s="7" t="s">
        <v>122</v>
      </c>
      <c r="G12" s="7" t="s">
        <v>123</v>
      </c>
      <c r="H12" s="7" t="s">
        <v>124</v>
      </c>
      <c r="I12" s="7" t="s">
        <v>125</v>
      </c>
      <c r="J12" s="7" t="s">
        <v>53</v>
      </c>
      <c r="K12" s="7" t="s">
        <v>126</v>
      </c>
      <c r="L12" s="7" t="s">
        <v>36</v>
      </c>
    </row>
    <row r="13" customFormat="false" ht="34.5" hidden="false" customHeight="true" outlineLevel="0" collapsed="false">
      <c r="A13" s="7" t="s">
        <v>127</v>
      </c>
      <c r="B13" s="7" t="s">
        <v>128</v>
      </c>
      <c r="C13" s="7" t="s">
        <v>129</v>
      </c>
      <c r="D13" s="7" t="s">
        <v>130</v>
      </c>
      <c r="E13" s="7" t="s">
        <v>7</v>
      </c>
      <c r="F13" s="7" t="s">
        <v>131</v>
      </c>
      <c r="G13" s="7" t="s">
        <v>132</v>
      </c>
      <c r="H13" s="7" t="s">
        <v>133</v>
      </c>
      <c r="I13" s="7" t="s">
        <v>134</v>
      </c>
      <c r="J13" s="7" t="s">
        <v>34</v>
      </c>
      <c r="K13" s="7" t="s">
        <v>135</v>
      </c>
      <c r="L13" s="7" t="s">
        <v>36</v>
      </c>
    </row>
    <row r="14" customFormat="false" ht="34.5" hidden="false" customHeight="true" outlineLevel="0" collapsed="false">
      <c r="A14" s="7" t="s">
        <v>136</v>
      </c>
      <c r="B14" s="7" t="s">
        <v>137</v>
      </c>
      <c r="C14" s="7" t="s">
        <v>138</v>
      </c>
      <c r="D14" s="7" t="s">
        <v>139</v>
      </c>
      <c r="E14" s="7" t="s">
        <v>7</v>
      </c>
      <c r="F14" s="7" t="s">
        <v>140</v>
      </c>
      <c r="G14" s="7" t="s">
        <v>141</v>
      </c>
      <c r="H14" s="7" t="s">
        <v>142</v>
      </c>
      <c r="I14" s="7" t="s">
        <v>143</v>
      </c>
      <c r="J14" s="7" t="s">
        <v>34</v>
      </c>
      <c r="K14" s="7" t="s">
        <v>144</v>
      </c>
      <c r="L14" s="7" t="s">
        <v>36</v>
      </c>
    </row>
    <row r="15" customFormat="false" ht="23.25" hidden="false" customHeight="true" outlineLevel="0" collapsed="false">
      <c r="A15" s="7" t="s">
        <v>145</v>
      </c>
      <c r="B15" s="7" t="s">
        <v>146</v>
      </c>
      <c r="C15" s="7" t="s">
        <v>147</v>
      </c>
      <c r="D15" s="7" t="s">
        <v>148</v>
      </c>
      <c r="E15" s="7" t="s">
        <v>7</v>
      </c>
      <c r="F15" s="7" t="s">
        <v>149</v>
      </c>
      <c r="G15" s="7" t="s">
        <v>150</v>
      </c>
      <c r="H15" s="7" t="s">
        <v>151</v>
      </c>
      <c r="I15" s="7" t="s">
        <v>152</v>
      </c>
      <c r="J15" s="7" t="s">
        <v>34</v>
      </c>
      <c r="K15" s="7" t="s">
        <v>153</v>
      </c>
      <c r="L15" s="7" t="s">
        <v>36</v>
      </c>
    </row>
    <row r="16" customFormat="false" ht="34.5" hidden="false" customHeight="true" outlineLevel="0" collapsed="false">
      <c r="A16" s="7" t="s">
        <v>154</v>
      </c>
      <c r="B16" s="7" t="s">
        <v>155</v>
      </c>
      <c r="C16" s="7" t="s">
        <v>156</v>
      </c>
      <c r="D16" s="7" t="s">
        <v>157</v>
      </c>
      <c r="E16" s="7" t="s">
        <v>7</v>
      </c>
      <c r="F16" s="7" t="s">
        <v>158</v>
      </c>
      <c r="G16" s="7" t="s">
        <v>159</v>
      </c>
      <c r="H16" s="7" t="s">
        <v>160</v>
      </c>
      <c r="I16" s="7" t="s">
        <v>161</v>
      </c>
      <c r="J16" s="7" t="s">
        <v>53</v>
      </c>
      <c r="K16" s="7" t="s">
        <v>162</v>
      </c>
      <c r="L16" s="7" t="s">
        <v>36</v>
      </c>
    </row>
    <row r="17" customFormat="false" ht="23.25" hidden="false" customHeight="true" outlineLevel="0" collapsed="false">
      <c r="A17" s="7" t="s">
        <v>163</v>
      </c>
      <c r="B17" s="7" t="s">
        <v>164</v>
      </c>
      <c r="C17" s="7" t="s">
        <v>165</v>
      </c>
      <c r="D17" s="7" t="s">
        <v>166</v>
      </c>
      <c r="E17" s="7" t="s">
        <v>8</v>
      </c>
      <c r="F17" s="7" t="s">
        <v>167</v>
      </c>
      <c r="G17" s="7" t="s">
        <v>168</v>
      </c>
      <c r="H17" s="7" t="s">
        <v>169</v>
      </c>
      <c r="I17" s="7" t="s">
        <v>71</v>
      </c>
      <c r="J17" s="7" t="s">
        <v>53</v>
      </c>
      <c r="K17" s="7" t="s">
        <v>170</v>
      </c>
      <c r="L17" s="7" t="s">
        <v>36</v>
      </c>
    </row>
    <row r="18" customFormat="false" ht="34.5" hidden="false" customHeight="true" outlineLevel="0" collapsed="false">
      <c r="A18" s="7" t="s">
        <v>171</v>
      </c>
      <c r="B18" s="7" t="s">
        <v>172</v>
      </c>
      <c r="C18" s="7" t="s">
        <v>173</v>
      </c>
      <c r="D18" s="7" t="s">
        <v>174</v>
      </c>
      <c r="E18" s="7" t="s">
        <v>7</v>
      </c>
      <c r="F18" s="7" t="s">
        <v>175</v>
      </c>
      <c r="G18" s="7" t="s">
        <v>176</v>
      </c>
      <c r="H18" s="7" t="s">
        <v>177</v>
      </c>
      <c r="I18" s="7" t="s">
        <v>178</v>
      </c>
      <c r="J18" s="7" t="s">
        <v>34</v>
      </c>
      <c r="K18" s="7" t="s">
        <v>179</v>
      </c>
      <c r="L18" s="7" t="s">
        <v>36</v>
      </c>
    </row>
    <row r="19" customFormat="false" ht="23.25" hidden="false" customHeight="true" outlineLevel="0" collapsed="false">
      <c r="A19" s="7" t="s">
        <v>180</v>
      </c>
      <c r="B19" s="7" t="s">
        <v>181</v>
      </c>
      <c r="C19" s="7" t="s">
        <v>182</v>
      </c>
      <c r="D19" s="7" t="s">
        <v>183</v>
      </c>
      <c r="E19" s="7" t="s">
        <v>7</v>
      </c>
      <c r="F19" s="7" t="s">
        <v>184</v>
      </c>
      <c r="G19" s="7" t="s">
        <v>185</v>
      </c>
      <c r="H19" s="7" t="s">
        <v>186</v>
      </c>
      <c r="I19" s="7" t="s">
        <v>187</v>
      </c>
      <c r="J19" s="7" t="s">
        <v>34</v>
      </c>
      <c r="K19" s="7" t="s">
        <v>188</v>
      </c>
      <c r="L19" s="7" t="s">
        <v>36</v>
      </c>
    </row>
    <row r="20" customFormat="false" ht="23.25" hidden="false" customHeight="true" outlineLevel="0" collapsed="false">
      <c r="A20" s="7" t="s">
        <v>189</v>
      </c>
      <c r="B20" s="7" t="s">
        <v>190</v>
      </c>
      <c r="C20" s="7" t="s">
        <v>191</v>
      </c>
      <c r="D20" s="7" t="s">
        <v>192</v>
      </c>
      <c r="E20" s="7" t="s">
        <v>8</v>
      </c>
      <c r="F20" s="7" t="s">
        <v>193</v>
      </c>
      <c r="G20" s="7" t="s">
        <v>194</v>
      </c>
      <c r="H20" s="7" t="s">
        <v>195</v>
      </c>
      <c r="I20" s="7" t="s">
        <v>196</v>
      </c>
      <c r="J20" s="7" t="s">
        <v>34</v>
      </c>
      <c r="K20" s="7" t="s">
        <v>197</v>
      </c>
      <c r="L20" s="7" t="s">
        <v>36</v>
      </c>
    </row>
    <row r="21" customFormat="false" ht="34.5" hidden="false" customHeight="true" outlineLevel="0" collapsed="false">
      <c r="A21" s="7" t="s">
        <v>198</v>
      </c>
      <c r="B21" s="7" t="s">
        <v>199</v>
      </c>
      <c r="C21" s="7" t="s">
        <v>200</v>
      </c>
      <c r="D21" s="7" t="s">
        <v>201</v>
      </c>
      <c r="E21" s="7" t="s">
        <v>8</v>
      </c>
      <c r="F21" s="7" t="s">
        <v>202</v>
      </c>
      <c r="G21" s="7" t="s">
        <v>203</v>
      </c>
      <c r="H21" s="7" t="s">
        <v>204</v>
      </c>
      <c r="I21" s="7" t="s">
        <v>205</v>
      </c>
      <c r="J21" s="7" t="s">
        <v>53</v>
      </c>
      <c r="K21" s="7" t="s">
        <v>206</v>
      </c>
      <c r="L21" s="7" t="s">
        <v>36</v>
      </c>
    </row>
    <row r="22" customFormat="false" ht="23.25" hidden="false" customHeight="true" outlineLevel="0" collapsed="false">
      <c r="A22" s="7" t="s">
        <v>207</v>
      </c>
      <c r="B22" s="7" t="s">
        <v>208</v>
      </c>
      <c r="C22" s="7" t="s">
        <v>209</v>
      </c>
      <c r="D22" s="7" t="s">
        <v>210</v>
      </c>
      <c r="E22" s="7" t="s">
        <v>9</v>
      </c>
      <c r="F22" s="7" t="s">
        <v>211</v>
      </c>
      <c r="G22" s="7" t="s">
        <v>212</v>
      </c>
      <c r="H22" s="7" t="s">
        <v>213</v>
      </c>
      <c r="I22" s="7" t="s">
        <v>214</v>
      </c>
      <c r="J22" s="7" t="s">
        <v>53</v>
      </c>
      <c r="K22" s="7" t="s">
        <v>215</v>
      </c>
      <c r="L22" s="7" t="s">
        <v>36</v>
      </c>
    </row>
    <row r="23" customFormat="false" ht="23.25" hidden="false" customHeight="true" outlineLevel="0" collapsed="false">
      <c r="A23" s="7" t="s">
        <v>216</v>
      </c>
      <c r="B23" s="7" t="s">
        <v>217</v>
      </c>
      <c r="C23" s="7" t="s">
        <v>218</v>
      </c>
      <c r="D23" s="7" t="s">
        <v>219</v>
      </c>
      <c r="E23" s="7" t="s">
        <v>9</v>
      </c>
      <c r="F23" s="7" t="s">
        <v>211</v>
      </c>
      <c r="G23" s="7" t="s">
        <v>220</v>
      </c>
      <c r="H23" s="7" t="s">
        <v>221</v>
      </c>
      <c r="I23" s="7" t="s">
        <v>214</v>
      </c>
      <c r="J23" s="7" t="s">
        <v>53</v>
      </c>
      <c r="K23" s="7" t="s">
        <v>222</v>
      </c>
      <c r="L23" s="7" t="s">
        <v>36</v>
      </c>
    </row>
    <row r="24" customFormat="false" ht="34.5" hidden="false" customHeight="true" outlineLevel="0" collapsed="false">
      <c r="A24" s="7" t="s">
        <v>223</v>
      </c>
      <c r="B24" s="7" t="s">
        <v>224</v>
      </c>
      <c r="C24" s="7" t="s">
        <v>225</v>
      </c>
      <c r="D24" s="7" t="s">
        <v>226</v>
      </c>
      <c r="E24" s="7" t="s">
        <v>9</v>
      </c>
      <c r="F24" s="7" t="s">
        <v>227</v>
      </c>
      <c r="G24" s="7" t="s">
        <v>228</v>
      </c>
      <c r="H24" s="7" t="s">
        <v>229</v>
      </c>
      <c r="I24" s="7" t="s">
        <v>230</v>
      </c>
      <c r="J24" s="7" t="s">
        <v>34</v>
      </c>
      <c r="K24" s="7" t="s">
        <v>231</v>
      </c>
      <c r="L24" s="7" t="s">
        <v>36</v>
      </c>
    </row>
    <row r="25" customFormat="false" ht="23.25" hidden="false" customHeight="true" outlineLevel="0" collapsed="false">
      <c r="A25" s="7" t="s">
        <v>232</v>
      </c>
      <c r="B25" s="7" t="s">
        <v>233</v>
      </c>
      <c r="C25" s="7" t="s">
        <v>234</v>
      </c>
      <c r="D25" s="7" t="s">
        <v>235</v>
      </c>
      <c r="E25" s="7" t="s">
        <v>9</v>
      </c>
      <c r="F25" s="7" t="s">
        <v>236</v>
      </c>
      <c r="G25" s="7" t="s">
        <v>237</v>
      </c>
      <c r="H25" s="7" t="s">
        <v>238</v>
      </c>
      <c r="I25" s="7" t="s">
        <v>239</v>
      </c>
      <c r="J25" s="7" t="s">
        <v>240</v>
      </c>
      <c r="K25" s="7" t="s">
        <v>241</v>
      </c>
      <c r="L25" s="7" t="s">
        <v>36</v>
      </c>
    </row>
    <row r="26" customFormat="false" ht="23.25" hidden="false" customHeight="true" outlineLevel="0" collapsed="false">
      <c r="A26" s="7" t="s">
        <v>242</v>
      </c>
      <c r="B26" s="7" t="s">
        <v>243</v>
      </c>
      <c r="C26" s="7" t="s">
        <v>244</v>
      </c>
      <c r="D26" s="7" t="s">
        <v>245</v>
      </c>
      <c r="E26" s="7" t="s">
        <v>9</v>
      </c>
      <c r="F26" s="7" t="s">
        <v>246</v>
      </c>
      <c r="G26" s="7" t="s">
        <v>247</v>
      </c>
      <c r="H26" s="7" t="s">
        <v>248</v>
      </c>
      <c r="I26" s="7" t="s">
        <v>230</v>
      </c>
      <c r="J26" s="7" t="s">
        <v>53</v>
      </c>
      <c r="K26" s="7" t="s">
        <v>249</v>
      </c>
      <c r="L26" s="7" t="s">
        <v>36</v>
      </c>
    </row>
    <row r="27" customFormat="false" ht="23.25" hidden="false" customHeight="true" outlineLevel="0" collapsed="false">
      <c r="A27" s="7" t="s">
        <v>250</v>
      </c>
      <c r="B27" s="7" t="s">
        <v>251</v>
      </c>
      <c r="C27" s="7" t="s">
        <v>252</v>
      </c>
      <c r="D27" s="7" t="s">
        <v>253</v>
      </c>
      <c r="E27" s="7" t="s">
        <v>8</v>
      </c>
      <c r="F27" s="7" t="s">
        <v>254</v>
      </c>
      <c r="G27" s="7" t="s">
        <v>255</v>
      </c>
      <c r="H27" s="7" t="s">
        <v>256</v>
      </c>
      <c r="I27" s="7" t="s">
        <v>257</v>
      </c>
      <c r="J27" s="7" t="s">
        <v>53</v>
      </c>
      <c r="K27" s="7" t="s">
        <v>258</v>
      </c>
      <c r="L27" s="7" t="s">
        <v>36</v>
      </c>
    </row>
    <row r="28" customFormat="false" ht="23.25" hidden="false" customHeight="true" outlineLevel="0" collapsed="false">
      <c r="A28" s="7" t="s">
        <v>259</v>
      </c>
      <c r="B28" s="7" t="s">
        <v>260</v>
      </c>
      <c r="C28" s="7" t="s">
        <v>261</v>
      </c>
      <c r="D28" s="7" t="s">
        <v>262</v>
      </c>
      <c r="E28" s="7" t="s">
        <v>9</v>
      </c>
      <c r="F28" s="7" t="s">
        <v>263</v>
      </c>
      <c r="G28" s="7" t="s">
        <v>264</v>
      </c>
      <c r="H28" s="7" t="s">
        <v>265</v>
      </c>
      <c r="I28" s="7" t="s">
        <v>266</v>
      </c>
      <c r="J28" s="7" t="s">
        <v>240</v>
      </c>
      <c r="K28" s="7" t="s">
        <v>267</v>
      </c>
      <c r="L28" s="7" t="s">
        <v>36</v>
      </c>
    </row>
    <row r="29" customFormat="false" ht="34.5" hidden="false" customHeight="true" outlineLevel="0" collapsed="false">
      <c r="A29" s="7" t="s">
        <v>268</v>
      </c>
      <c r="B29" s="7" t="s">
        <v>269</v>
      </c>
      <c r="C29" s="7" t="s">
        <v>270</v>
      </c>
      <c r="D29" s="7" t="s">
        <v>271</v>
      </c>
      <c r="E29" s="7" t="s">
        <v>9</v>
      </c>
      <c r="F29" s="7" t="s">
        <v>272</v>
      </c>
      <c r="G29" s="7" t="s">
        <v>273</v>
      </c>
      <c r="H29" s="7" t="s">
        <v>274</v>
      </c>
      <c r="I29" s="7" t="s">
        <v>275</v>
      </c>
      <c r="J29" s="7" t="s">
        <v>53</v>
      </c>
      <c r="K29" s="7" t="s">
        <v>276</v>
      </c>
      <c r="L29" s="7" t="s">
        <v>36</v>
      </c>
    </row>
    <row r="30" customFormat="false" ht="23.25" hidden="false" customHeight="true" outlineLevel="0" collapsed="false">
      <c r="A30" s="7" t="s">
        <v>277</v>
      </c>
      <c r="B30" s="7" t="s">
        <v>278</v>
      </c>
      <c r="C30" s="7" t="s">
        <v>279</v>
      </c>
      <c r="D30" s="7" t="s">
        <v>280</v>
      </c>
      <c r="E30" s="7" t="s">
        <v>9</v>
      </c>
      <c r="F30" s="7" t="s">
        <v>281</v>
      </c>
      <c r="G30" s="7" t="s">
        <v>282</v>
      </c>
      <c r="H30" s="7" t="s">
        <v>283</v>
      </c>
      <c r="I30" s="7" t="s">
        <v>284</v>
      </c>
      <c r="J30" s="7" t="s">
        <v>53</v>
      </c>
      <c r="K30" s="7" t="s">
        <v>285</v>
      </c>
      <c r="L30" s="7" t="s">
        <v>36</v>
      </c>
    </row>
    <row r="31" customFormat="false" ht="23.25" hidden="false" customHeight="true" outlineLevel="0" collapsed="false">
      <c r="A31" s="7" t="s">
        <v>286</v>
      </c>
      <c r="B31" s="7" t="s">
        <v>287</v>
      </c>
      <c r="C31" s="7" t="s">
        <v>288</v>
      </c>
      <c r="D31" s="7" t="s">
        <v>289</v>
      </c>
      <c r="E31" s="7" t="s">
        <v>8</v>
      </c>
      <c r="F31" s="7" t="s">
        <v>290</v>
      </c>
      <c r="G31" s="7" t="s">
        <v>291</v>
      </c>
      <c r="H31" s="7" t="s">
        <v>292</v>
      </c>
      <c r="I31" s="7" t="s">
        <v>230</v>
      </c>
      <c r="J31" s="7" t="s">
        <v>53</v>
      </c>
      <c r="K31" s="7" t="s">
        <v>293</v>
      </c>
      <c r="L31" s="7" t="s">
        <v>36</v>
      </c>
    </row>
    <row r="32" customFormat="false" ht="34.5" hidden="false" customHeight="true" outlineLevel="0" collapsed="false">
      <c r="A32" s="7" t="s">
        <v>294</v>
      </c>
      <c r="B32" s="7" t="s">
        <v>295</v>
      </c>
      <c r="C32" s="7" t="s">
        <v>296</v>
      </c>
      <c r="D32" s="7" t="s">
        <v>297</v>
      </c>
      <c r="E32" s="7" t="s">
        <v>9</v>
      </c>
      <c r="F32" s="7" t="s">
        <v>298</v>
      </c>
      <c r="G32" s="7" t="s">
        <v>299</v>
      </c>
      <c r="H32" s="7" t="s">
        <v>300</v>
      </c>
      <c r="I32" s="7" t="s">
        <v>301</v>
      </c>
      <c r="J32" s="7" t="s">
        <v>53</v>
      </c>
      <c r="K32" s="7" t="s">
        <v>302</v>
      </c>
      <c r="L32" s="7" t="s">
        <v>36</v>
      </c>
    </row>
    <row r="33" customFormat="false" ht="23.25" hidden="false" customHeight="true" outlineLevel="0" collapsed="false">
      <c r="A33" s="7" t="s">
        <v>303</v>
      </c>
      <c r="B33" s="7" t="s">
        <v>304</v>
      </c>
      <c r="C33" s="7" t="s">
        <v>305</v>
      </c>
      <c r="D33" s="7" t="s">
        <v>306</v>
      </c>
      <c r="E33" s="7" t="s">
        <v>8</v>
      </c>
      <c r="F33" s="7" t="s">
        <v>307</v>
      </c>
      <c r="G33" s="7" t="s">
        <v>308</v>
      </c>
      <c r="H33" s="7" t="s">
        <v>309</v>
      </c>
      <c r="I33" s="7" t="s">
        <v>152</v>
      </c>
      <c r="J33" s="7" t="s">
        <v>34</v>
      </c>
      <c r="K33" s="7" t="s">
        <v>310</v>
      </c>
      <c r="L33" s="7" t="s">
        <v>36</v>
      </c>
    </row>
    <row r="34" customFormat="false" ht="34.5" hidden="false" customHeight="true" outlineLevel="0" collapsed="false">
      <c r="A34" s="7" t="s">
        <v>311</v>
      </c>
      <c r="B34" s="7" t="s">
        <v>312</v>
      </c>
      <c r="C34" s="7" t="s">
        <v>313</v>
      </c>
      <c r="D34" s="7" t="s">
        <v>314</v>
      </c>
      <c r="E34" s="7" t="s">
        <v>7</v>
      </c>
      <c r="F34" s="7" t="s">
        <v>315</v>
      </c>
      <c r="G34" s="7" t="s">
        <v>316</v>
      </c>
      <c r="H34" s="7" t="s">
        <v>317</v>
      </c>
      <c r="I34" s="7" t="s">
        <v>152</v>
      </c>
      <c r="J34" s="7" t="s">
        <v>53</v>
      </c>
      <c r="K34" s="7" t="s">
        <v>318</v>
      </c>
      <c r="L34" s="7" t="s">
        <v>36</v>
      </c>
    </row>
    <row r="35" customFormat="false" ht="23.25" hidden="false" customHeight="true" outlineLevel="0" collapsed="false">
      <c r="A35" s="7" t="s">
        <v>319</v>
      </c>
      <c r="B35" s="7" t="s">
        <v>320</v>
      </c>
      <c r="C35" s="7" t="s">
        <v>321</v>
      </c>
      <c r="D35" s="7" t="s">
        <v>322</v>
      </c>
      <c r="E35" s="7" t="s">
        <v>8</v>
      </c>
      <c r="F35" s="7" t="s">
        <v>323</v>
      </c>
      <c r="G35" s="7" t="s">
        <v>324</v>
      </c>
      <c r="H35" s="7" t="s">
        <v>325</v>
      </c>
      <c r="I35" s="7" t="s">
        <v>326</v>
      </c>
      <c r="J35" s="7" t="s">
        <v>53</v>
      </c>
      <c r="K35" s="7" t="s">
        <v>327</v>
      </c>
      <c r="L35" s="7" t="s">
        <v>36</v>
      </c>
    </row>
    <row r="36" customFormat="false" ht="23.25" hidden="false" customHeight="true" outlineLevel="0" collapsed="false">
      <c r="A36" s="7" t="s">
        <v>328</v>
      </c>
      <c r="B36" s="7" t="s">
        <v>329</v>
      </c>
      <c r="C36" s="7" t="s">
        <v>330</v>
      </c>
      <c r="D36" s="7" t="s">
        <v>331</v>
      </c>
      <c r="E36" s="7" t="s">
        <v>9</v>
      </c>
      <c r="F36" s="7" t="s">
        <v>332</v>
      </c>
      <c r="G36" s="7" t="s">
        <v>333</v>
      </c>
      <c r="H36" s="7" t="s">
        <v>334</v>
      </c>
      <c r="I36" s="7" t="s">
        <v>335</v>
      </c>
      <c r="J36" s="7" t="s">
        <v>53</v>
      </c>
      <c r="K36" s="7" t="s">
        <v>336</v>
      </c>
      <c r="L36" s="7" t="s">
        <v>36</v>
      </c>
    </row>
    <row r="37" customFormat="false" ht="23.25" hidden="false" customHeight="true" outlineLevel="0" collapsed="false">
      <c r="A37" s="7" t="s">
        <v>337</v>
      </c>
      <c r="B37" s="7" t="s">
        <v>338</v>
      </c>
      <c r="C37" s="7" t="s">
        <v>339</v>
      </c>
      <c r="D37" s="7" t="s">
        <v>340</v>
      </c>
      <c r="E37" s="7" t="s">
        <v>8</v>
      </c>
      <c r="F37" s="7" t="s">
        <v>341</v>
      </c>
      <c r="G37" s="7" t="s">
        <v>342</v>
      </c>
      <c r="H37" s="7" t="s">
        <v>343</v>
      </c>
      <c r="I37" s="7" t="s">
        <v>326</v>
      </c>
      <c r="J37" s="7" t="s">
        <v>53</v>
      </c>
      <c r="K37" s="7" t="s">
        <v>344</v>
      </c>
      <c r="L37" s="7" t="s">
        <v>36</v>
      </c>
    </row>
    <row r="38" customFormat="false" ht="23.25" hidden="false" customHeight="true" outlineLevel="0" collapsed="false">
      <c r="A38" s="7" t="s">
        <v>345</v>
      </c>
      <c r="B38" s="7" t="s">
        <v>346</v>
      </c>
      <c r="C38" s="7" t="s">
        <v>347</v>
      </c>
      <c r="D38" s="7" t="s">
        <v>348</v>
      </c>
      <c r="E38" s="7" t="s">
        <v>10</v>
      </c>
      <c r="F38" s="7" t="s">
        <v>349</v>
      </c>
      <c r="G38" s="7" t="s">
        <v>350</v>
      </c>
      <c r="H38" s="7" t="s">
        <v>351</v>
      </c>
      <c r="I38" s="7" t="s">
        <v>352</v>
      </c>
      <c r="J38" s="7" t="s">
        <v>240</v>
      </c>
      <c r="K38" s="7" t="s">
        <v>353</v>
      </c>
      <c r="L38" s="7" t="s">
        <v>36</v>
      </c>
    </row>
    <row r="39" customFormat="false" ht="34.5" hidden="false" customHeight="true" outlineLevel="0" collapsed="false">
      <c r="A39" s="7" t="s">
        <v>354</v>
      </c>
      <c r="B39" s="7" t="s">
        <v>355</v>
      </c>
      <c r="C39" s="7" t="s">
        <v>356</v>
      </c>
      <c r="D39" s="7" t="s">
        <v>357</v>
      </c>
      <c r="E39" s="7" t="s">
        <v>7</v>
      </c>
      <c r="F39" s="7" t="s">
        <v>358</v>
      </c>
      <c r="G39" s="7" t="s">
        <v>359</v>
      </c>
      <c r="H39" s="7" t="s">
        <v>360</v>
      </c>
      <c r="I39" s="7" t="s">
        <v>361</v>
      </c>
      <c r="J39" s="7" t="s">
        <v>34</v>
      </c>
      <c r="K39" s="7" t="s">
        <v>362</v>
      </c>
      <c r="L39" s="7" t="s">
        <v>36</v>
      </c>
    </row>
    <row r="40" customFormat="false" ht="34.5" hidden="false" customHeight="true" outlineLevel="0" collapsed="false">
      <c r="A40" s="7" t="s">
        <v>363</v>
      </c>
      <c r="B40" s="7" t="s">
        <v>364</v>
      </c>
      <c r="C40" s="7" t="s">
        <v>365</v>
      </c>
      <c r="D40" s="7" t="s">
        <v>366</v>
      </c>
      <c r="E40" s="7" t="s">
        <v>9</v>
      </c>
      <c r="F40" s="7" t="s">
        <v>367</v>
      </c>
      <c r="G40" s="7" t="s">
        <v>368</v>
      </c>
      <c r="H40" s="7" t="s">
        <v>369</v>
      </c>
      <c r="I40" s="7" t="s">
        <v>370</v>
      </c>
      <c r="J40" s="7" t="s">
        <v>53</v>
      </c>
      <c r="K40" s="7" t="s">
        <v>371</v>
      </c>
      <c r="L40" s="7" t="s">
        <v>36</v>
      </c>
    </row>
    <row r="41" customFormat="false" ht="34.5" hidden="false" customHeight="true" outlineLevel="0" collapsed="false">
      <c r="A41" s="7" t="s">
        <v>372</v>
      </c>
      <c r="B41" s="7" t="s">
        <v>373</v>
      </c>
      <c r="C41" s="7" t="s">
        <v>374</v>
      </c>
      <c r="D41" s="7" t="s">
        <v>375</v>
      </c>
      <c r="E41" s="7" t="s">
        <v>8</v>
      </c>
      <c r="F41" s="7" t="s">
        <v>376</v>
      </c>
      <c r="G41" s="7" t="s">
        <v>377</v>
      </c>
      <c r="H41" s="7" t="s">
        <v>378</v>
      </c>
      <c r="I41" s="7" t="s">
        <v>71</v>
      </c>
      <c r="J41" s="7" t="s">
        <v>34</v>
      </c>
      <c r="K41" s="7" t="s">
        <v>379</v>
      </c>
      <c r="L41" s="7" t="s">
        <v>36</v>
      </c>
    </row>
    <row r="42" customFormat="false" ht="23.25" hidden="false" customHeight="true" outlineLevel="0" collapsed="false">
      <c r="A42" s="7" t="s">
        <v>380</v>
      </c>
      <c r="B42" s="7" t="s">
        <v>381</v>
      </c>
      <c r="C42" s="7" t="s">
        <v>382</v>
      </c>
      <c r="D42" s="7" t="s">
        <v>383</v>
      </c>
      <c r="E42" s="7" t="s">
        <v>10</v>
      </c>
      <c r="F42" s="7" t="s">
        <v>376</v>
      </c>
      <c r="G42" s="7" t="s">
        <v>384</v>
      </c>
      <c r="H42" s="7" t="s">
        <v>385</v>
      </c>
      <c r="I42" s="7" t="s">
        <v>353</v>
      </c>
      <c r="J42" s="7" t="s">
        <v>240</v>
      </c>
      <c r="K42" s="7" t="s">
        <v>386</v>
      </c>
      <c r="L42" s="7" t="s">
        <v>36</v>
      </c>
    </row>
    <row r="43" customFormat="false" ht="23.25" hidden="false" customHeight="true" outlineLevel="0" collapsed="false">
      <c r="A43" s="7" t="s">
        <v>387</v>
      </c>
      <c r="B43" s="7" t="s">
        <v>388</v>
      </c>
      <c r="C43" s="7" t="s">
        <v>389</v>
      </c>
      <c r="D43" s="7" t="s">
        <v>390</v>
      </c>
      <c r="E43" s="7" t="s">
        <v>9</v>
      </c>
      <c r="F43" s="7" t="s">
        <v>184</v>
      </c>
      <c r="G43" s="7" t="s">
        <v>391</v>
      </c>
      <c r="H43" s="7" t="s">
        <v>392</v>
      </c>
      <c r="I43" s="7" t="s">
        <v>393</v>
      </c>
      <c r="J43" s="7" t="s">
        <v>240</v>
      </c>
      <c r="K43" s="7" t="s">
        <v>394</v>
      </c>
      <c r="L43" s="7" t="s">
        <v>36</v>
      </c>
    </row>
    <row r="44" customFormat="false" ht="34.5" hidden="false" customHeight="true" outlineLevel="0" collapsed="false">
      <c r="A44" s="7" t="s">
        <v>395</v>
      </c>
      <c r="B44" s="7" t="s">
        <v>396</v>
      </c>
      <c r="C44" s="7" t="s">
        <v>397</v>
      </c>
      <c r="D44" s="7" t="s">
        <v>398</v>
      </c>
      <c r="E44" s="7" t="s">
        <v>10</v>
      </c>
      <c r="F44" s="7" t="s">
        <v>281</v>
      </c>
      <c r="G44" s="7" t="s">
        <v>399</v>
      </c>
      <c r="H44" s="7" t="s">
        <v>400</v>
      </c>
      <c r="I44" s="7" t="s">
        <v>353</v>
      </c>
      <c r="J44" s="7" t="s">
        <v>240</v>
      </c>
      <c r="K44" s="7" t="s">
        <v>401</v>
      </c>
      <c r="L44" s="7" t="s">
        <v>36</v>
      </c>
    </row>
    <row r="45" customFormat="false" ht="35.05" hidden="false" customHeight="false" outlineLevel="0" collapsed="false">
      <c r="A45" s="7" t="s">
        <v>402</v>
      </c>
      <c r="B45" s="7" t="s">
        <v>403</v>
      </c>
      <c r="C45" s="7" t="s">
        <v>404</v>
      </c>
      <c r="D45" s="7" t="s">
        <v>405</v>
      </c>
      <c r="E45" s="7" t="s">
        <v>7</v>
      </c>
      <c r="F45" s="7" t="s">
        <v>406</v>
      </c>
      <c r="G45" s="7" t="s">
        <v>407</v>
      </c>
      <c r="H45" s="7" t="s">
        <v>408</v>
      </c>
      <c r="I45" s="7" t="s">
        <v>409</v>
      </c>
      <c r="J45" s="7" t="s">
        <v>34</v>
      </c>
      <c r="K45" s="7" t="s">
        <v>410</v>
      </c>
      <c r="L45" s="7" t="s">
        <v>36</v>
      </c>
    </row>
    <row r="46" customFormat="false" ht="23.85" hidden="false" customHeight="false" outlineLevel="0" collapsed="false">
      <c r="A46" s="7" t="s">
        <v>411</v>
      </c>
      <c r="B46" s="7" t="s">
        <v>412</v>
      </c>
      <c r="C46" s="7" t="s">
        <v>413</v>
      </c>
      <c r="D46" s="7" t="s">
        <v>414</v>
      </c>
      <c r="E46" s="7" t="s">
        <v>7</v>
      </c>
      <c r="F46" s="7" t="s">
        <v>406</v>
      </c>
      <c r="G46" s="7" t="s">
        <v>415</v>
      </c>
      <c r="H46" s="7" t="s">
        <v>416</v>
      </c>
      <c r="I46" s="7" t="s">
        <v>134</v>
      </c>
      <c r="J46" s="7" t="s">
        <v>34</v>
      </c>
      <c r="K46" s="7" t="s">
        <v>144</v>
      </c>
      <c r="L46" s="7" t="s">
        <v>36</v>
      </c>
    </row>
    <row r="47" customFormat="false" ht="35.05" hidden="false" customHeight="false" outlineLevel="0" collapsed="false">
      <c r="A47" s="7" t="s">
        <v>417</v>
      </c>
      <c r="B47" s="7" t="s">
        <v>418</v>
      </c>
      <c r="C47" s="7" t="s">
        <v>419</v>
      </c>
      <c r="D47" s="7" t="s">
        <v>420</v>
      </c>
      <c r="E47" s="7" t="s">
        <v>7</v>
      </c>
      <c r="F47" s="7" t="s">
        <v>246</v>
      </c>
      <c r="G47" s="7" t="s">
        <v>421</v>
      </c>
      <c r="H47" s="7" t="s">
        <v>422</v>
      </c>
      <c r="I47" s="7" t="s">
        <v>134</v>
      </c>
      <c r="J47" s="7" t="s">
        <v>34</v>
      </c>
      <c r="K47" s="7" t="s">
        <v>423</v>
      </c>
      <c r="L47" s="7" t="s">
        <v>36</v>
      </c>
    </row>
    <row r="48" customFormat="false" ht="23.85" hidden="false" customHeight="false" outlineLevel="0" collapsed="false">
      <c r="A48" s="7" t="s">
        <v>424</v>
      </c>
      <c r="B48" s="7" t="s">
        <v>425</v>
      </c>
      <c r="C48" s="7" t="s">
        <v>426</v>
      </c>
      <c r="D48" s="7" t="s">
        <v>427</v>
      </c>
      <c r="E48" s="7" t="s">
        <v>7</v>
      </c>
      <c r="F48" s="7" t="s">
        <v>428</v>
      </c>
      <c r="G48" s="7" t="s">
        <v>429</v>
      </c>
      <c r="H48" s="7" t="s">
        <v>430</v>
      </c>
      <c r="I48" s="7" t="s">
        <v>431</v>
      </c>
      <c r="J48" s="7" t="s">
        <v>34</v>
      </c>
      <c r="K48" s="7" t="s">
        <v>432</v>
      </c>
      <c r="L48" s="7" t="s">
        <v>36</v>
      </c>
    </row>
    <row r="49" customFormat="false" ht="23.85" hidden="false" customHeight="false" outlineLevel="0" collapsed="false">
      <c r="A49" s="7" t="s">
        <v>433</v>
      </c>
      <c r="B49" s="7" t="s">
        <v>434</v>
      </c>
      <c r="C49" s="7" t="s">
        <v>435</v>
      </c>
      <c r="D49" s="7" t="s">
        <v>436</v>
      </c>
      <c r="E49" s="7" t="s">
        <v>8</v>
      </c>
      <c r="F49" s="7" t="s">
        <v>437</v>
      </c>
      <c r="G49" s="7" t="s">
        <v>438</v>
      </c>
      <c r="H49" s="7" t="s">
        <v>439</v>
      </c>
      <c r="I49" s="7" t="s">
        <v>440</v>
      </c>
      <c r="J49" s="7" t="s">
        <v>53</v>
      </c>
      <c r="K49" s="7" t="s">
        <v>441</v>
      </c>
      <c r="L49" s="7" t="s">
        <v>36</v>
      </c>
    </row>
    <row r="50" customFormat="false" ht="35.05" hidden="false" customHeight="false" outlineLevel="0" collapsed="false">
      <c r="A50" s="7" t="s">
        <v>442</v>
      </c>
      <c r="B50" s="7" t="s">
        <v>443</v>
      </c>
      <c r="C50" s="7" t="s">
        <v>147</v>
      </c>
      <c r="D50" s="7" t="s">
        <v>444</v>
      </c>
      <c r="E50" s="7" t="s">
        <v>7</v>
      </c>
      <c r="F50" s="7" t="s">
        <v>445</v>
      </c>
      <c r="G50" s="7" t="s">
        <v>446</v>
      </c>
      <c r="H50" s="7" t="s">
        <v>447</v>
      </c>
      <c r="I50" s="7" t="s">
        <v>448</v>
      </c>
      <c r="J50" s="7" t="s">
        <v>34</v>
      </c>
      <c r="K50" s="7" t="s">
        <v>449</v>
      </c>
      <c r="L50" s="7" t="s">
        <v>36</v>
      </c>
    </row>
  </sheetData>
  <autoFilter ref="A1:L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6"/>
    <col collapsed="false" customWidth="true" hidden="false" outlineLevel="0" max="3" min="3" style="1" width="38"/>
    <col collapsed="false" customWidth="true" hidden="false" outlineLevel="0" max="4" min="4" style="1" width="60"/>
    <col collapsed="false" customWidth="true" hidden="false" outlineLevel="0" max="5" min="5" style="1" width="18"/>
    <col collapsed="false" customWidth="true" hidden="false" outlineLevel="0" max="6" min="6" style="1" width="22"/>
  </cols>
  <sheetData>
    <row r="1" customFormat="false" ht="23.25" hidden="false" customHeight="true" outlineLevel="0" collapsed="false">
      <c r="A1" s="6" t="s">
        <v>15</v>
      </c>
      <c r="B1" s="6" t="s">
        <v>450</v>
      </c>
      <c r="C1" s="6" t="s">
        <v>451</v>
      </c>
      <c r="D1" s="6" t="s">
        <v>452</v>
      </c>
      <c r="E1" s="6" t="s">
        <v>453</v>
      </c>
      <c r="F1" s="6" t="s">
        <v>454</v>
      </c>
    </row>
    <row r="2" customFormat="false" ht="34.5" hidden="false" customHeight="true" outlineLevel="0" collapsed="false">
      <c r="A2" s="7" t="s">
        <v>455</v>
      </c>
      <c r="B2" s="7" t="s">
        <v>456</v>
      </c>
      <c r="C2" s="7" t="s">
        <v>457</v>
      </c>
      <c r="D2" s="7" t="s">
        <v>458</v>
      </c>
      <c r="E2" s="7" t="s">
        <v>459</v>
      </c>
      <c r="F2" s="7" t="s">
        <v>460</v>
      </c>
    </row>
    <row r="3" customFormat="false" ht="23.25" hidden="false" customHeight="true" outlineLevel="0" collapsed="false">
      <c r="A3" s="7" t="s">
        <v>461</v>
      </c>
      <c r="B3" s="7" t="s">
        <v>462</v>
      </c>
      <c r="C3" s="7" t="s">
        <v>463</v>
      </c>
      <c r="D3" s="7" t="s">
        <v>464</v>
      </c>
      <c r="E3" s="7" t="s">
        <v>465</v>
      </c>
      <c r="F3" s="7" t="s">
        <v>466</v>
      </c>
    </row>
    <row r="4" customFormat="false" ht="23.25" hidden="false" customHeight="true" outlineLevel="0" collapsed="false">
      <c r="A4" s="7" t="s">
        <v>467</v>
      </c>
      <c r="B4" s="7" t="s">
        <v>468</v>
      </c>
      <c r="C4" s="7" t="s">
        <v>469</v>
      </c>
      <c r="D4" s="7" t="s">
        <v>470</v>
      </c>
      <c r="E4" s="7" t="s">
        <v>471</v>
      </c>
      <c r="F4" s="7" t="s">
        <v>466</v>
      </c>
    </row>
    <row r="5" customFormat="false" ht="23.25" hidden="false" customHeight="true" outlineLevel="0" collapsed="false">
      <c r="A5" s="7" t="s">
        <v>472</v>
      </c>
      <c r="B5" s="7" t="s">
        <v>473</v>
      </c>
      <c r="C5" s="7" t="s">
        <v>474</v>
      </c>
      <c r="D5" s="7" t="s">
        <v>475</v>
      </c>
      <c r="E5" s="7" t="s">
        <v>73</v>
      </c>
      <c r="F5" s="7" t="s">
        <v>466</v>
      </c>
    </row>
    <row r="6" customFormat="false" ht="23.25" hidden="false" customHeight="true" outlineLevel="0" collapsed="false">
      <c r="A6" s="7" t="s">
        <v>476</v>
      </c>
      <c r="B6" s="7" t="s">
        <v>477</v>
      </c>
      <c r="C6" s="7" t="s">
        <v>478</v>
      </c>
      <c r="D6" s="7" t="s">
        <v>479</v>
      </c>
      <c r="E6" s="7" t="s">
        <v>294</v>
      </c>
      <c r="F6" s="7" t="s">
        <v>466</v>
      </c>
    </row>
    <row r="7" customFormat="false" ht="15" hidden="false" customHeight="true" outlineLevel="0" collapsed="false">
      <c r="A7" s="7" t="s">
        <v>480</v>
      </c>
      <c r="B7" s="7" t="s">
        <v>481</v>
      </c>
      <c r="C7" s="7" t="s">
        <v>482</v>
      </c>
      <c r="D7" s="7" t="s">
        <v>483</v>
      </c>
      <c r="E7" s="7" t="s">
        <v>294</v>
      </c>
      <c r="F7" s="7" t="s">
        <v>466</v>
      </c>
    </row>
    <row r="8" customFormat="false" ht="15" hidden="false" customHeight="true" outlineLevel="0" collapsed="false">
      <c r="A8" s="7" t="s">
        <v>484</v>
      </c>
      <c r="B8" s="7" t="s">
        <v>485</v>
      </c>
      <c r="C8" s="7" t="s">
        <v>486</v>
      </c>
      <c r="D8" s="7" t="s">
        <v>487</v>
      </c>
      <c r="E8" s="7" t="s">
        <v>488</v>
      </c>
      <c r="F8" s="7" t="s">
        <v>489</v>
      </c>
    </row>
    <row r="9" customFormat="false" ht="15" hidden="false" customHeight="true" outlineLevel="0" collapsed="false">
      <c r="A9" s="7" t="s">
        <v>490</v>
      </c>
      <c r="B9" s="7" t="s">
        <v>491</v>
      </c>
      <c r="C9" s="7" t="s">
        <v>492</v>
      </c>
      <c r="D9" s="7" t="s">
        <v>493</v>
      </c>
      <c r="E9" s="7" t="s">
        <v>145</v>
      </c>
      <c r="F9" s="7" t="s">
        <v>489</v>
      </c>
    </row>
    <row r="10" customFormat="false" ht="15" hidden="false" customHeight="true" outlineLevel="0" collapsed="false">
      <c r="A10" s="7" t="s">
        <v>494</v>
      </c>
      <c r="B10" s="7" t="s">
        <v>495</v>
      </c>
      <c r="C10" s="7" t="s">
        <v>496</v>
      </c>
      <c r="D10" s="7" t="s">
        <v>497</v>
      </c>
      <c r="E10" s="7" t="s">
        <v>488</v>
      </c>
      <c r="F10" s="7" t="s">
        <v>489</v>
      </c>
    </row>
    <row r="11" customFormat="false" ht="15" hidden="false" customHeight="true" outlineLevel="0" collapsed="false">
      <c r="A11" s="7" t="s">
        <v>498</v>
      </c>
      <c r="B11" s="7" t="s">
        <v>499</v>
      </c>
      <c r="C11" s="7" t="s">
        <v>500</v>
      </c>
      <c r="D11" s="7" t="s">
        <v>501</v>
      </c>
      <c r="E11" s="7" t="s">
        <v>328</v>
      </c>
      <c r="F11" s="7" t="s">
        <v>489</v>
      </c>
    </row>
    <row r="12" customFormat="false" ht="15" hidden="false" customHeight="true" outlineLevel="0" collapsed="false">
      <c r="A12" s="7" t="s">
        <v>502</v>
      </c>
      <c r="B12" s="7" t="s">
        <v>503</v>
      </c>
      <c r="C12" s="7" t="s">
        <v>504</v>
      </c>
      <c r="D12" s="7" t="s">
        <v>505</v>
      </c>
      <c r="E12" s="7" t="s">
        <v>488</v>
      </c>
      <c r="F12" s="7" t="s">
        <v>506</v>
      </c>
    </row>
    <row r="13" customFormat="false" ht="23.25" hidden="false" customHeight="true" outlineLevel="0" collapsed="false">
      <c r="A13" s="7" t="s">
        <v>507</v>
      </c>
      <c r="B13" s="7" t="s">
        <v>508</v>
      </c>
      <c r="C13" s="7" t="s">
        <v>509</v>
      </c>
      <c r="D13" s="7" t="s">
        <v>510</v>
      </c>
      <c r="E13" s="7" t="s">
        <v>511</v>
      </c>
      <c r="F13" s="7" t="s">
        <v>466</v>
      </c>
    </row>
    <row r="14" customFormat="false" ht="15" hidden="false" customHeight="true" outlineLevel="0" collapsed="false">
      <c r="A14" s="7" t="s">
        <v>512</v>
      </c>
      <c r="B14" s="7" t="s">
        <v>513</v>
      </c>
      <c r="C14" s="7" t="s">
        <v>514</v>
      </c>
      <c r="D14" s="7" t="s">
        <v>515</v>
      </c>
      <c r="E14" s="7" t="s">
        <v>109</v>
      </c>
      <c r="F14" s="7" t="s">
        <v>516</v>
      </c>
    </row>
    <row r="15" customFormat="false" ht="15" hidden="false" customHeight="true" outlineLevel="0" collapsed="false">
      <c r="A15" s="7" t="s">
        <v>517</v>
      </c>
      <c r="B15" s="7" t="s">
        <v>518</v>
      </c>
      <c r="C15" s="7" t="s">
        <v>519</v>
      </c>
      <c r="D15" s="7" t="s">
        <v>520</v>
      </c>
      <c r="E15" s="7" t="s">
        <v>521</v>
      </c>
      <c r="F15" s="7" t="s">
        <v>516</v>
      </c>
    </row>
  </sheetData>
  <autoFilter ref="A1:F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44"/>
    <col collapsed="false" customWidth="true" hidden="false" outlineLevel="0" max="3" min="3" style="1" width="80"/>
    <col collapsed="false" customWidth="true" hidden="false" outlineLevel="0" max="4" min="4" style="1" width="12"/>
  </cols>
  <sheetData>
    <row r="1" customFormat="false" ht="15" hidden="false" customHeight="true" outlineLevel="0" collapsed="false">
      <c r="A1" s="6" t="s">
        <v>15</v>
      </c>
      <c r="B1" s="6" t="s">
        <v>522</v>
      </c>
      <c r="C1" s="6" t="s">
        <v>523</v>
      </c>
      <c r="D1" s="6" t="s">
        <v>524</v>
      </c>
    </row>
    <row r="2" customFormat="false" ht="15" hidden="false" customHeight="true" outlineLevel="0" collapsed="false">
      <c r="A2" s="7" t="s">
        <v>525</v>
      </c>
      <c r="B2" s="7" t="s">
        <v>526</v>
      </c>
      <c r="C2" s="7" t="s">
        <v>527</v>
      </c>
      <c r="D2" s="7" t="s">
        <v>277</v>
      </c>
    </row>
    <row r="3" customFormat="false" ht="15" hidden="false" customHeight="true" outlineLevel="0" collapsed="false">
      <c r="A3" s="7" t="s">
        <v>528</v>
      </c>
      <c r="B3" s="7" t="s">
        <v>529</v>
      </c>
      <c r="C3" s="7" t="s">
        <v>530</v>
      </c>
      <c r="D3" s="7" t="s">
        <v>303</v>
      </c>
    </row>
    <row r="4" customFormat="false" ht="15" hidden="false" customHeight="true" outlineLevel="0" collapsed="false">
      <c r="A4" s="7" t="s">
        <v>531</v>
      </c>
      <c r="B4" s="7" t="s">
        <v>532</v>
      </c>
      <c r="C4" s="7" t="s">
        <v>533</v>
      </c>
      <c r="D4" s="7" t="s">
        <v>223</v>
      </c>
    </row>
    <row r="5" customFormat="false" ht="23.25" hidden="false" customHeight="true" outlineLevel="0" collapsed="false">
      <c r="A5" s="7" t="s">
        <v>534</v>
      </c>
      <c r="B5" s="7" t="s">
        <v>535</v>
      </c>
      <c r="C5" s="7" t="s">
        <v>536</v>
      </c>
      <c r="D5" s="7" t="s">
        <v>303</v>
      </c>
    </row>
    <row r="6" customFormat="false" ht="15" hidden="false" customHeight="true" outlineLevel="0" collapsed="false">
      <c r="A6" s="7" t="s">
        <v>537</v>
      </c>
      <c r="B6" s="7" t="s">
        <v>538</v>
      </c>
      <c r="C6" s="7" t="s">
        <v>539</v>
      </c>
      <c r="D6" s="7" t="s">
        <v>232</v>
      </c>
    </row>
    <row r="7" customFormat="false" ht="23.25" hidden="false" customHeight="true" outlineLevel="0" collapsed="false">
      <c r="A7" s="7" t="s">
        <v>540</v>
      </c>
      <c r="B7" s="7" t="s">
        <v>541</v>
      </c>
      <c r="C7" s="7" t="s">
        <v>542</v>
      </c>
      <c r="D7" s="7" t="s">
        <v>242</v>
      </c>
    </row>
    <row r="8" customFormat="false" ht="23.25" hidden="false" customHeight="true" outlineLevel="0" collapsed="false">
      <c r="A8" s="7" t="s">
        <v>543</v>
      </c>
      <c r="B8" s="7" t="s">
        <v>544</v>
      </c>
      <c r="C8" s="7" t="s">
        <v>545</v>
      </c>
      <c r="D8" s="7" t="s">
        <v>73</v>
      </c>
    </row>
    <row r="9" customFormat="false" ht="23.25" hidden="false" customHeight="true" outlineLevel="0" collapsed="false">
      <c r="A9" s="7" t="s">
        <v>546</v>
      </c>
      <c r="B9" s="7" t="s">
        <v>547</v>
      </c>
      <c r="C9" s="7" t="s">
        <v>548</v>
      </c>
      <c r="D9" s="7" t="s">
        <v>109</v>
      </c>
    </row>
    <row r="10" customFormat="false" ht="15" hidden="false" customHeight="true" outlineLevel="0" collapsed="false">
      <c r="A10" s="7" t="s">
        <v>549</v>
      </c>
      <c r="B10" s="7" t="s">
        <v>550</v>
      </c>
      <c r="C10" s="7" t="s">
        <v>551</v>
      </c>
      <c r="D10" s="7" t="s">
        <v>552</v>
      </c>
    </row>
    <row r="11" customFormat="false" ht="23.25" hidden="false" customHeight="true" outlineLevel="0" collapsed="false">
      <c r="A11" s="7" t="s">
        <v>553</v>
      </c>
      <c r="B11" s="7" t="s">
        <v>554</v>
      </c>
      <c r="C11" s="7" t="s">
        <v>555</v>
      </c>
      <c r="D11" s="7" t="s">
        <v>127</v>
      </c>
    </row>
    <row r="12" customFormat="false" ht="15" hidden="false" customHeight="true" outlineLevel="0" collapsed="false">
      <c r="A12" s="7" t="s">
        <v>556</v>
      </c>
      <c r="B12" s="7" t="s">
        <v>557</v>
      </c>
      <c r="C12" s="7" t="s">
        <v>558</v>
      </c>
      <c r="D12" s="7" t="s">
        <v>163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80"/>
    <col collapsed="false" customWidth="true" hidden="false" outlineLevel="0" max="3" min="3" style="1" width="60"/>
    <col collapsed="false" customWidth="true" hidden="false" outlineLevel="0" max="4" min="4" style="1" width="12"/>
  </cols>
  <sheetData>
    <row r="1" customFormat="false" ht="15" hidden="false" customHeight="true" outlineLevel="0" collapsed="false">
      <c r="A1" s="6" t="s">
        <v>559</v>
      </c>
      <c r="B1" s="6" t="s">
        <v>560</v>
      </c>
      <c r="C1" s="6" t="s">
        <v>561</v>
      </c>
      <c r="D1" s="6" t="s">
        <v>524</v>
      </c>
    </row>
    <row r="2" customFormat="false" ht="23.25" hidden="false" customHeight="true" outlineLevel="0" collapsed="false">
      <c r="A2" s="7" t="s">
        <v>562</v>
      </c>
      <c r="B2" s="7" t="s">
        <v>563</v>
      </c>
      <c r="C2" s="7" t="s">
        <v>564</v>
      </c>
      <c r="D2" s="7" t="s">
        <v>402</v>
      </c>
    </row>
    <row r="3" customFormat="false" ht="15" hidden="false" customHeight="true" outlineLevel="0" collapsed="false">
      <c r="A3" s="7" t="s">
        <v>565</v>
      </c>
      <c r="B3" s="7" t="s">
        <v>566</v>
      </c>
      <c r="C3" s="7" t="s">
        <v>567</v>
      </c>
      <c r="D3" s="7" t="s">
        <v>259</v>
      </c>
    </row>
    <row r="4" customFormat="false" ht="15" hidden="false" customHeight="true" outlineLevel="0" collapsed="false">
      <c r="A4" s="7" t="s">
        <v>565</v>
      </c>
      <c r="B4" s="7" t="s">
        <v>568</v>
      </c>
      <c r="C4" s="7" t="s">
        <v>569</v>
      </c>
      <c r="D4" s="7" t="s">
        <v>268</v>
      </c>
    </row>
    <row r="5" customFormat="false" ht="15" hidden="false" customHeight="true" outlineLevel="0" collapsed="false">
      <c r="A5" s="7" t="s">
        <v>570</v>
      </c>
      <c r="B5" s="7" t="s">
        <v>571</v>
      </c>
      <c r="C5" s="7" t="s">
        <v>572</v>
      </c>
      <c r="D5" s="7" t="s">
        <v>154</v>
      </c>
    </row>
    <row r="6" customFormat="false" ht="15" hidden="false" customHeight="true" outlineLevel="0" collapsed="false">
      <c r="A6" s="7" t="s">
        <v>570</v>
      </c>
      <c r="B6" s="7" t="s">
        <v>573</v>
      </c>
      <c r="C6" s="7" t="s">
        <v>574</v>
      </c>
      <c r="D6" s="7" t="s">
        <v>73</v>
      </c>
    </row>
    <row r="7" customFormat="false" ht="15" hidden="false" customHeight="true" outlineLevel="0" collapsed="false">
      <c r="A7" s="7" t="s">
        <v>570</v>
      </c>
      <c r="B7" s="7" t="s">
        <v>575</v>
      </c>
      <c r="C7" s="7" t="s">
        <v>576</v>
      </c>
      <c r="D7" s="7" t="s">
        <v>127</v>
      </c>
    </row>
    <row r="8" customFormat="false" ht="15" hidden="false" customHeight="true" outlineLevel="0" collapsed="false">
      <c r="A8" s="7" t="s">
        <v>570</v>
      </c>
      <c r="B8" s="7" t="s">
        <v>577</v>
      </c>
      <c r="C8" s="7" t="s">
        <v>578</v>
      </c>
      <c r="D8" s="7" t="s">
        <v>171</v>
      </c>
    </row>
    <row r="9" customFormat="false" ht="15" hidden="false" customHeight="true" outlineLevel="0" collapsed="false">
      <c r="A9" s="7" t="s">
        <v>579</v>
      </c>
      <c r="B9" s="7" t="s">
        <v>580</v>
      </c>
      <c r="C9" s="7" t="s">
        <v>581</v>
      </c>
      <c r="D9" s="7" t="s">
        <v>582</v>
      </c>
    </row>
    <row r="10" customFormat="false" ht="15" hidden="false" customHeight="true" outlineLevel="0" collapsed="false">
      <c r="A10" s="7" t="s">
        <v>579</v>
      </c>
      <c r="B10" s="7" t="s">
        <v>583</v>
      </c>
      <c r="C10" s="7" t="s">
        <v>584</v>
      </c>
      <c r="D10" s="7" t="s">
        <v>582</v>
      </c>
    </row>
    <row r="11" customFormat="false" ht="15" hidden="false" customHeight="true" outlineLevel="0" collapsed="false">
      <c r="A11" s="7" t="s">
        <v>579</v>
      </c>
      <c r="B11" s="7" t="s">
        <v>585</v>
      </c>
      <c r="C11" s="7" t="s">
        <v>586</v>
      </c>
      <c r="D11" s="7" t="s">
        <v>582</v>
      </c>
    </row>
    <row r="12" customFormat="false" ht="23.25" hidden="false" customHeight="true" outlineLevel="0" collapsed="false">
      <c r="A12" s="7" t="s">
        <v>579</v>
      </c>
      <c r="B12" s="7" t="s">
        <v>587</v>
      </c>
      <c r="C12" s="7" t="s">
        <v>588</v>
      </c>
      <c r="D12" s="7" t="s">
        <v>180</v>
      </c>
    </row>
    <row r="13" customFormat="false" ht="23.25" hidden="false" customHeight="true" outlineLevel="0" collapsed="false">
      <c r="A13" s="7" t="s">
        <v>579</v>
      </c>
      <c r="B13" s="7" t="s">
        <v>589</v>
      </c>
      <c r="C13" s="7" t="s">
        <v>590</v>
      </c>
      <c r="D13" s="7" t="s">
        <v>180</v>
      </c>
    </row>
    <row r="14" customFormat="false" ht="15" hidden="false" customHeight="true" outlineLevel="0" collapsed="false">
      <c r="A14" s="7" t="s">
        <v>579</v>
      </c>
      <c r="B14" s="7" t="s">
        <v>591</v>
      </c>
      <c r="C14" s="7" t="s">
        <v>592</v>
      </c>
      <c r="D14" s="7" t="s">
        <v>582</v>
      </c>
    </row>
    <row r="15" customFormat="false" ht="15" hidden="false" customHeight="true" outlineLevel="0" collapsed="false">
      <c r="A15" s="7" t="s">
        <v>579</v>
      </c>
      <c r="B15" s="7" t="s">
        <v>593</v>
      </c>
      <c r="C15" s="7" t="s">
        <v>594</v>
      </c>
      <c r="D15" s="7" t="s">
        <v>171</v>
      </c>
    </row>
    <row r="16" customFormat="false" ht="15" hidden="false" customHeight="true" outlineLevel="0" collapsed="false">
      <c r="A16" s="7" t="s">
        <v>579</v>
      </c>
      <c r="B16" s="7" t="s">
        <v>595</v>
      </c>
      <c r="C16" s="7" t="s">
        <v>596</v>
      </c>
      <c r="D16" s="7" t="s">
        <v>582</v>
      </c>
    </row>
    <row r="17" customFormat="false" ht="15" hidden="false" customHeight="true" outlineLevel="0" collapsed="false">
      <c r="A17" s="7" t="s">
        <v>579</v>
      </c>
      <c r="B17" s="7" t="s">
        <v>597</v>
      </c>
      <c r="C17" s="7" t="s">
        <v>596</v>
      </c>
      <c r="D17" s="7" t="s">
        <v>582</v>
      </c>
    </row>
    <row r="18" customFormat="false" ht="15" hidden="false" customHeight="true" outlineLevel="0" collapsed="false">
      <c r="A18" s="7" t="s">
        <v>579</v>
      </c>
      <c r="B18" s="7" t="s">
        <v>598</v>
      </c>
      <c r="C18" s="7" t="s">
        <v>599</v>
      </c>
      <c r="D18" s="7" t="s">
        <v>582</v>
      </c>
    </row>
    <row r="19" customFormat="false" ht="23.25" hidden="false" customHeight="true" outlineLevel="0" collapsed="false">
      <c r="A19" s="7" t="s">
        <v>565</v>
      </c>
      <c r="B19" s="7" t="s">
        <v>600</v>
      </c>
      <c r="C19" s="7" t="s">
        <v>601</v>
      </c>
      <c r="D19" s="7" t="s">
        <v>395</v>
      </c>
    </row>
    <row r="20" customFormat="false" ht="15" hidden="false" customHeight="true" outlineLevel="0" collapsed="false">
      <c r="A20" s="7" t="s">
        <v>570</v>
      </c>
      <c r="B20" s="7" t="s">
        <v>602</v>
      </c>
      <c r="C20" s="7" t="s">
        <v>603</v>
      </c>
      <c r="D20" s="7" t="s">
        <v>387</v>
      </c>
    </row>
  </sheetData>
  <autoFilter ref="A1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0"/>
    <col collapsed="false" customWidth="true" hidden="false" outlineLevel="0" max="3" min="3" style="1" width="12"/>
    <col collapsed="false" customWidth="true" hidden="false" outlineLevel="0" max="4" min="4" style="1" width="10"/>
  </cols>
  <sheetData>
    <row r="1" customFormat="false" ht="15" hidden="false" customHeight="true" outlineLevel="0" collapsed="false">
      <c r="A1" s="6" t="s">
        <v>604</v>
      </c>
      <c r="B1" s="6" t="s">
        <v>605</v>
      </c>
      <c r="C1" s="6" t="s">
        <v>606</v>
      </c>
      <c r="D1" s="6" t="s">
        <v>607</v>
      </c>
    </row>
    <row r="2" customFormat="false" ht="15" hidden="false" customHeight="true" outlineLevel="0" collapsed="false">
      <c r="A2" s="7" t="n">
        <v>1</v>
      </c>
      <c r="B2" s="7" t="s">
        <v>608</v>
      </c>
      <c r="C2" s="7" t="s">
        <v>36</v>
      </c>
      <c r="D2" s="7" t="s">
        <v>609</v>
      </c>
    </row>
    <row r="3" customFormat="false" ht="15" hidden="false" customHeight="true" outlineLevel="0" collapsed="false">
      <c r="A3" s="7" t="n">
        <v>2</v>
      </c>
      <c r="B3" s="7" t="s">
        <v>610</v>
      </c>
      <c r="C3" s="7" t="s">
        <v>36</v>
      </c>
      <c r="D3" s="7" t="s">
        <v>609</v>
      </c>
    </row>
    <row r="4" customFormat="false" ht="15" hidden="false" customHeight="true" outlineLevel="0" collapsed="false">
      <c r="A4" s="7" t="n">
        <v>3</v>
      </c>
      <c r="B4" s="7" t="s">
        <v>611</v>
      </c>
      <c r="C4" s="7" t="s">
        <v>36</v>
      </c>
      <c r="D4" s="7" t="s">
        <v>609</v>
      </c>
    </row>
    <row r="5" customFormat="false" ht="15" hidden="false" customHeight="true" outlineLevel="0" collapsed="false">
      <c r="A5" s="7" t="n">
        <v>4</v>
      </c>
      <c r="B5" s="7" t="s">
        <v>612</v>
      </c>
      <c r="C5" s="7" t="s">
        <v>36</v>
      </c>
      <c r="D5" s="7" t="s">
        <v>609</v>
      </c>
    </row>
    <row r="6" customFormat="false" ht="15" hidden="false" customHeight="true" outlineLevel="0" collapsed="false">
      <c r="A6" s="7" t="n">
        <v>5</v>
      </c>
      <c r="B6" s="7" t="s">
        <v>613</v>
      </c>
      <c r="C6" s="7" t="s">
        <v>36</v>
      </c>
      <c r="D6" s="7" t="s">
        <v>609</v>
      </c>
    </row>
    <row r="7" customFormat="false" ht="15" hidden="false" customHeight="true" outlineLevel="0" collapsed="false">
      <c r="A7" s="7" t="n">
        <v>6</v>
      </c>
      <c r="B7" s="7" t="s">
        <v>614</v>
      </c>
      <c r="C7" s="7" t="s">
        <v>36</v>
      </c>
      <c r="D7" s="7" t="s">
        <v>609</v>
      </c>
    </row>
    <row r="8" customFormat="false" ht="15" hidden="false" customHeight="true" outlineLevel="0" collapsed="false">
      <c r="A8" s="7" t="n">
        <v>7</v>
      </c>
      <c r="B8" s="7" t="s">
        <v>615</v>
      </c>
      <c r="C8" s="7" t="s">
        <v>36</v>
      </c>
      <c r="D8" s="7" t="s">
        <v>609</v>
      </c>
    </row>
    <row r="9" customFormat="false" ht="15" hidden="false" customHeight="true" outlineLevel="0" collapsed="false">
      <c r="A9" s="7" t="n">
        <v>8</v>
      </c>
      <c r="B9" s="7" t="s">
        <v>616</v>
      </c>
      <c r="C9" s="7" t="s">
        <v>36</v>
      </c>
      <c r="D9" s="7" t="s">
        <v>609</v>
      </c>
    </row>
    <row r="10" customFormat="false" ht="15" hidden="false" customHeight="true" outlineLevel="0" collapsed="false">
      <c r="A10" s="7" t="n">
        <v>9</v>
      </c>
      <c r="B10" s="7" t="s">
        <v>617</v>
      </c>
      <c r="C10" s="7" t="s">
        <v>36</v>
      </c>
      <c r="D10" s="7" t="s">
        <v>609</v>
      </c>
    </row>
    <row r="11" customFormat="false" ht="15" hidden="false" customHeight="true" outlineLevel="0" collapsed="false">
      <c r="A11" s="7" t="n">
        <v>10</v>
      </c>
      <c r="B11" s="7" t="s">
        <v>618</v>
      </c>
      <c r="C11" s="7" t="s">
        <v>36</v>
      </c>
      <c r="D11" s="7" t="s">
        <v>609</v>
      </c>
    </row>
    <row r="12" customFormat="false" ht="15" hidden="false" customHeight="true" outlineLevel="0" collapsed="false">
      <c r="A12" s="7" t="n">
        <v>11</v>
      </c>
      <c r="B12" s="7" t="s">
        <v>619</v>
      </c>
      <c r="C12" s="7" t="s">
        <v>36</v>
      </c>
      <c r="D12" s="7" t="s">
        <v>609</v>
      </c>
    </row>
    <row r="13" customFormat="false" ht="15" hidden="false" customHeight="true" outlineLevel="0" collapsed="false">
      <c r="A13" s="7" t="n">
        <v>12</v>
      </c>
      <c r="B13" s="7" t="s">
        <v>620</v>
      </c>
      <c r="C13" s="7" t="s">
        <v>36</v>
      </c>
      <c r="D13" s="7" t="s">
        <v>609</v>
      </c>
    </row>
    <row r="14" customFormat="false" ht="15" hidden="false" customHeight="true" outlineLevel="0" collapsed="false">
      <c r="A14" s="7" t="n">
        <v>13</v>
      </c>
      <c r="B14" s="7" t="s">
        <v>621</v>
      </c>
      <c r="C14" s="7" t="s">
        <v>36</v>
      </c>
      <c r="D14" s="7" t="s">
        <v>622</v>
      </c>
    </row>
    <row r="15" customFormat="false" ht="15" hidden="false" customHeight="true" outlineLevel="0" collapsed="false">
      <c r="A15" s="7" t="n">
        <v>14</v>
      </c>
      <c r="B15" s="7" t="s">
        <v>623</v>
      </c>
      <c r="C15" s="7" t="s">
        <v>36</v>
      </c>
      <c r="D15" s="7" t="s">
        <v>622</v>
      </c>
    </row>
    <row r="16" customFormat="false" ht="15" hidden="false" customHeight="true" outlineLevel="0" collapsed="false">
      <c r="A16" s="7" t="n">
        <v>15</v>
      </c>
      <c r="B16" s="7" t="s">
        <v>624</v>
      </c>
      <c r="C16" s="7" t="s">
        <v>36</v>
      </c>
      <c r="D16" s="7" t="s">
        <v>622</v>
      </c>
    </row>
    <row r="17" customFormat="false" ht="15" hidden="false" customHeight="true" outlineLevel="0" collapsed="false">
      <c r="A17" s="7" t="n">
        <v>16</v>
      </c>
      <c r="B17" s="7" t="s">
        <v>625</v>
      </c>
      <c r="C17" s="7" t="s">
        <v>36</v>
      </c>
      <c r="D17" s="7" t="s">
        <v>622</v>
      </c>
    </row>
    <row r="18" customFormat="false" ht="15" hidden="false" customHeight="true" outlineLevel="0" collapsed="false">
      <c r="A18" s="7" t="n">
        <v>17</v>
      </c>
      <c r="B18" s="7" t="s">
        <v>626</v>
      </c>
      <c r="C18" s="7" t="s">
        <v>36</v>
      </c>
      <c r="D18" s="7" t="s">
        <v>622</v>
      </c>
    </row>
    <row r="19" customFormat="false" ht="15" hidden="false" customHeight="true" outlineLevel="0" collapsed="false">
      <c r="A19" s="7" t="n">
        <v>18</v>
      </c>
      <c r="B19" s="7" t="s">
        <v>627</v>
      </c>
      <c r="C19" s="7" t="s">
        <v>36</v>
      </c>
      <c r="D19" s="7" t="s">
        <v>622</v>
      </c>
    </row>
    <row r="20" customFormat="false" ht="15" hidden="false" customHeight="true" outlineLevel="0" collapsed="false">
      <c r="A20" s="7" t="n">
        <v>19</v>
      </c>
      <c r="B20" s="7" t="s">
        <v>628</v>
      </c>
      <c r="C20" s="7" t="s">
        <v>36</v>
      </c>
      <c r="D20" s="7" t="s">
        <v>622</v>
      </c>
    </row>
    <row r="21" customFormat="false" ht="15" hidden="false" customHeight="true" outlineLevel="0" collapsed="false">
      <c r="A21" s="7" t="n">
        <v>20</v>
      </c>
      <c r="B21" s="7" t="s">
        <v>629</v>
      </c>
      <c r="C21" s="7" t="s">
        <v>36</v>
      </c>
      <c r="D21" s="7" t="s">
        <v>622</v>
      </c>
    </row>
    <row r="22" customFormat="false" ht="15" hidden="false" customHeight="true" outlineLevel="0" collapsed="false">
      <c r="A22" s="7" t="n">
        <v>21</v>
      </c>
      <c r="B22" s="7" t="s">
        <v>630</v>
      </c>
      <c r="C22" s="7" t="s">
        <v>36</v>
      </c>
      <c r="D22" s="7" t="s">
        <v>622</v>
      </c>
    </row>
    <row r="23" customFormat="false" ht="15" hidden="false" customHeight="true" outlineLevel="0" collapsed="false">
      <c r="A23" s="7" t="n">
        <v>22</v>
      </c>
      <c r="B23" s="7" t="s">
        <v>631</v>
      </c>
      <c r="C23" s="7" t="s">
        <v>36</v>
      </c>
      <c r="D23" s="7" t="s">
        <v>622</v>
      </c>
    </row>
    <row r="24" customFormat="false" ht="15" hidden="false" customHeight="true" outlineLevel="0" collapsed="false">
      <c r="A24" s="7" t="n">
        <v>23</v>
      </c>
      <c r="B24" s="7" t="s">
        <v>632</v>
      </c>
      <c r="C24" s="7" t="s">
        <v>36</v>
      </c>
      <c r="D24" s="7" t="s">
        <v>622</v>
      </c>
    </row>
    <row r="25" customFormat="false" ht="15" hidden="false" customHeight="true" outlineLevel="0" collapsed="false">
      <c r="A25" s="7" t="n">
        <v>24</v>
      </c>
      <c r="B25" s="7" t="s">
        <v>633</v>
      </c>
      <c r="C25" s="7" t="s">
        <v>36</v>
      </c>
      <c r="D25" s="7" t="s">
        <v>622</v>
      </c>
    </row>
    <row r="26" customFormat="false" ht="15" hidden="false" customHeight="true" outlineLevel="0" collapsed="false">
      <c r="A26" s="7" t="n">
        <v>25</v>
      </c>
      <c r="B26" s="7" t="s">
        <v>634</v>
      </c>
      <c r="C26" s="7" t="s">
        <v>36</v>
      </c>
      <c r="D26" s="7" t="s">
        <v>622</v>
      </c>
    </row>
    <row r="27" customFormat="false" ht="15" hidden="false" customHeight="true" outlineLevel="0" collapsed="false">
      <c r="A27" s="7" t="n">
        <v>26</v>
      </c>
      <c r="B27" s="7" t="s">
        <v>635</v>
      </c>
      <c r="C27" s="7" t="s">
        <v>36</v>
      </c>
      <c r="D27" s="7" t="s">
        <v>622</v>
      </c>
    </row>
    <row r="28" customFormat="false" ht="15" hidden="false" customHeight="true" outlineLevel="0" collapsed="false">
      <c r="A28" s="7" t="n">
        <v>27</v>
      </c>
      <c r="B28" s="7" t="s">
        <v>636</v>
      </c>
      <c r="C28" s="7" t="s">
        <v>36</v>
      </c>
      <c r="D28" s="7" t="s">
        <v>622</v>
      </c>
    </row>
    <row r="29" customFormat="false" ht="15" hidden="false" customHeight="true" outlineLevel="0" collapsed="false">
      <c r="A29" s="7" t="n">
        <v>28</v>
      </c>
      <c r="B29" s="7" t="s">
        <v>637</v>
      </c>
      <c r="C29" s="7" t="s">
        <v>36</v>
      </c>
      <c r="D29" s="7" t="s">
        <v>622</v>
      </c>
    </row>
    <row r="30" customFormat="false" ht="15" hidden="false" customHeight="true" outlineLevel="0" collapsed="false">
      <c r="A30" s="7" t="n">
        <v>29</v>
      </c>
      <c r="B30" s="7" t="s">
        <v>638</v>
      </c>
      <c r="C30" s="7" t="s">
        <v>36</v>
      </c>
      <c r="D30" s="7" t="s">
        <v>622</v>
      </c>
    </row>
    <row r="31" customFormat="false" ht="15" hidden="false" customHeight="true" outlineLevel="0" collapsed="false">
      <c r="A31" s="7" t="n">
        <v>30</v>
      </c>
      <c r="B31" s="7" t="s">
        <v>639</v>
      </c>
      <c r="C31" s="7" t="s">
        <v>36</v>
      </c>
      <c r="D31" s="7" t="s">
        <v>622</v>
      </c>
    </row>
    <row r="32" customFormat="false" ht="15" hidden="false" customHeight="true" outlineLevel="0" collapsed="false">
      <c r="A32" s="7" t="n">
        <v>31</v>
      </c>
      <c r="B32" s="7" t="s">
        <v>640</v>
      </c>
      <c r="C32" s="7" t="s">
        <v>36</v>
      </c>
      <c r="D32" s="7" t="s">
        <v>622</v>
      </c>
    </row>
    <row r="33" customFormat="false" ht="15" hidden="false" customHeight="true" outlineLevel="0" collapsed="false">
      <c r="A33" s="7" t="n">
        <v>32</v>
      </c>
      <c r="B33" s="7" t="s">
        <v>641</v>
      </c>
      <c r="C33" s="7" t="s">
        <v>36</v>
      </c>
      <c r="D33" s="7" t="s">
        <v>622</v>
      </c>
    </row>
    <row r="34" customFormat="false" ht="15" hidden="false" customHeight="true" outlineLevel="0" collapsed="false">
      <c r="A34" s="7" t="n">
        <v>33</v>
      </c>
      <c r="B34" s="7" t="s">
        <v>642</v>
      </c>
      <c r="C34" s="7" t="s">
        <v>36</v>
      </c>
      <c r="D34" s="7" t="s">
        <v>622</v>
      </c>
    </row>
    <row r="35" customFormat="false" ht="15" hidden="false" customHeight="true" outlineLevel="0" collapsed="false">
      <c r="A35" s="7" t="n">
        <v>34</v>
      </c>
      <c r="B35" s="7" t="s">
        <v>643</v>
      </c>
      <c r="C35" s="7" t="s">
        <v>36</v>
      </c>
      <c r="D35" s="7" t="s">
        <v>622</v>
      </c>
    </row>
    <row r="36" customFormat="false" ht="15" hidden="false" customHeight="true" outlineLevel="0" collapsed="false">
      <c r="A36" s="7" t="n">
        <v>35</v>
      </c>
      <c r="B36" s="7" t="s">
        <v>644</v>
      </c>
      <c r="C36" s="7" t="s">
        <v>36</v>
      </c>
      <c r="D36" s="7" t="s">
        <v>596</v>
      </c>
    </row>
    <row r="37" customFormat="false" ht="15" hidden="false" customHeight="true" outlineLevel="0" collapsed="false">
      <c r="A37" s="7" t="n">
        <v>36</v>
      </c>
      <c r="B37" s="7" t="s">
        <v>645</v>
      </c>
      <c r="C37" s="7" t="s">
        <v>36</v>
      </c>
      <c r="D37" s="7" t="s">
        <v>596</v>
      </c>
    </row>
    <row r="38" customFormat="false" ht="15" hidden="false" customHeight="true" outlineLevel="0" collapsed="false">
      <c r="A38" s="7" t="n">
        <v>37</v>
      </c>
      <c r="B38" s="7" t="s">
        <v>646</v>
      </c>
      <c r="C38" s="7" t="s">
        <v>36</v>
      </c>
      <c r="D38" s="7" t="s">
        <v>596</v>
      </c>
    </row>
    <row r="39" customFormat="false" ht="15" hidden="false" customHeight="true" outlineLevel="0" collapsed="false">
      <c r="A39" s="7" t="n">
        <v>38</v>
      </c>
      <c r="B39" s="7" t="s">
        <v>647</v>
      </c>
      <c r="C39" s="7" t="s">
        <v>36</v>
      </c>
      <c r="D39" s="7" t="s">
        <v>596</v>
      </c>
    </row>
    <row r="40" customFormat="false" ht="15" hidden="false" customHeight="true" outlineLevel="0" collapsed="false">
      <c r="A40" s="7" t="n">
        <v>39</v>
      </c>
      <c r="B40" s="7" t="s">
        <v>396</v>
      </c>
      <c r="C40" s="7" t="s">
        <v>36</v>
      </c>
      <c r="D40" s="7" t="s">
        <v>596</v>
      </c>
    </row>
    <row r="41" customFormat="false" ht="15" hidden="false" customHeight="false" outlineLevel="0" collapsed="false">
      <c r="A41" s="7" t="n">
        <v>40</v>
      </c>
      <c r="B41" s="7" t="s">
        <v>648</v>
      </c>
      <c r="C41" s="7" t="s">
        <v>36</v>
      </c>
      <c r="D41" s="7" t="s">
        <v>649</v>
      </c>
    </row>
    <row r="42" customFormat="false" ht="15" hidden="false" customHeight="false" outlineLevel="0" collapsed="false">
      <c r="A42" s="7" t="n">
        <v>41</v>
      </c>
      <c r="B42" s="7" t="s">
        <v>650</v>
      </c>
      <c r="C42" s="7" t="s">
        <v>36</v>
      </c>
      <c r="D42" s="7" t="s">
        <v>649</v>
      </c>
    </row>
    <row r="43" customFormat="false" ht="15" hidden="false" customHeight="false" outlineLevel="0" collapsed="false">
      <c r="A43" s="7" t="n">
        <v>42</v>
      </c>
      <c r="B43" s="7" t="s">
        <v>651</v>
      </c>
      <c r="C43" s="7" t="s">
        <v>36</v>
      </c>
      <c r="D43" s="7" t="s">
        <v>649</v>
      </c>
    </row>
    <row r="44" customFormat="false" ht="15" hidden="false" customHeight="false" outlineLevel="0" collapsed="false">
      <c r="A44" s="7" t="n">
        <v>43</v>
      </c>
      <c r="B44" s="7" t="s">
        <v>652</v>
      </c>
      <c r="C44" s="7" t="s">
        <v>36</v>
      </c>
      <c r="D44" s="7" t="s">
        <v>649</v>
      </c>
    </row>
  </sheetData>
  <autoFilter ref="A1:D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2026-10-19T09:15:19Z</dcterms:created>
  <dc:creator>openpyxl</dc:creator>
  <dc:description/>
  <dc:language>en-US</dc:language>
  <cp:lastModifiedBy/>
  <dcterms:modified xsi:type="dcterms:W3CDTF">2026-10-20T05:30:35Z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